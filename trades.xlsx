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llan Boury\Documents\Projetos Python\"/>
    </mc:Choice>
  </mc:AlternateContent>
  <xr:revisionPtr revIDLastSave="0" documentId="13_ncr:1_{9E5A9DDD-1337-464E-AC5B-769C688ECB7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rade Data" sheetId="1" r:id="rId1"/>
    <sheet name="Gráficos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<sst xmlns="http://schemas.openxmlformats.org/spreadsheetml/2006/main" count="225" uniqueCount="49">
  <si>
    <t>Type</t>
  </si>
  <si>
    <t>Asset Name</t>
  </si>
  <si>
    <t>Asset Ticker</t>
  </si>
  <si>
    <t>Asset Class</t>
  </si>
  <si>
    <t>Profit/Loss Amount</t>
  </si>
  <si>
    <t>For accumulated</t>
  </si>
  <si>
    <t>Profit/Loss Percent</t>
  </si>
  <si>
    <t>Lots</t>
  </si>
  <si>
    <t>Invested Amount</t>
  </si>
  <si>
    <t>Open Price</t>
  </si>
  <si>
    <t>Close Price</t>
  </si>
  <si>
    <t>Close Date</t>
  </si>
  <si>
    <t>Valores</t>
  </si>
  <si>
    <t>Row Labels</t>
  </si>
  <si>
    <t>Soma de For accumulated</t>
  </si>
  <si>
    <t>Grand Total</t>
  </si>
  <si>
    <t>Buy</t>
  </si>
  <si>
    <t>British Pound / US Dollar</t>
  </si>
  <si>
    <t>GBP/USD</t>
  </si>
  <si>
    <t>Forex</t>
  </si>
  <si>
    <t>Ethereum</t>
  </si>
  <si>
    <t>ETH/USD</t>
  </si>
  <si>
    <t>Crypto</t>
  </si>
  <si>
    <t>Sell</t>
  </si>
  <si>
    <t>American Express</t>
  </si>
  <si>
    <t>AXP</t>
  </si>
  <si>
    <t>Stocks</t>
  </si>
  <si>
    <t>US Crude Oil</t>
  </si>
  <si>
    <t>WTIUSD</t>
  </si>
  <si>
    <t>Commodities</t>
  </si>
  <si>
    <t>Euro / US Dollar</t>
  </si>
  <si>
    <t>EUR/USD</t>
  </si>
  <si>
    <t>US Dollar / Japanese Yen</t>
  </si>
  <si>
    <t>USD/JPY</t>
  </si>
  <si>
    <t>US Dollar / Canadian Dollar</t>
  </si>
  <si>
    <t>USD/CAD</t>
  </si>
  <si>
    <t>Gold / US Dollar (spot)</t>
  </si>
  <si>
    <t>XAUUSD</t>
  </si>
  <si>
    <t>Netflix</t>
  </si>
  <si>
    <t>NFLX</t>
  </si>
  <si>
    <t>XRP (Ripple)</t>
  </si>
  <si>
    <t>XRP/USD</t>
  </si>
  <si>
    <t>Tesla</t>
  </si>
  <si>
    <t>TSLA</t>
  </si>
  <si>
    <t>US Dollar / Swiss Franc</t>
  </si>
  <si>
    <t>USD/CHF</t>
  </si>
  <si>
    <t>Bank of America Corporation</t>
  </si>
  <si>
    <t>BAC</t>
  </si>
  <si>
    <t>Sum of Profit/Loss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</si>
</sst>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 wrapText="1"/>
    </xf>
    <xf numFmtId="0" fontId="0" fillId="0" borderId="0" xfId="0" pivotButton="1"/>
    <xf numFmtId="164" fontId="0" fillId="0" borderId="0" xfId="0" applyNumberFormat="1"/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26">
    <dxf>
      <alignment horizontal="center" vertical="bottom"/>
    </dxf>
    <dxf>
      <alignment horizontal="center" vertical="center" wrapText="1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164" formatCode="_-[$$-409]* #,##0.00_ ;_-[$$-409]* \-#,##0.00\ ;_-[$$-409]* &quot;-&quot;??_ ;_-@_ "/>
      <alignment horizontal="center" vertical="bottom"/>
    </dxf>
    <dxf>
      <numFmt numFmtId="164" formatCode="_-[$$-409]* #,##0.00_ ;_-[$$-409]* \-#,##0.00\ ;_-[$$-409]* &quot;-&quot;??_ ;_-@_ "/>
      <alignment horizontal="center" vertical="bottom"/>
    </dxf>
    <dxf>
      <numFmt numFmtId="164" formatCode="_-[$$-409]* #,##0.00_ ;_-[$$-409]* \-#,##0.00\ ;_-[$$-409]* &quot;-&quot;??_ ;_-@_ "/>
      <alignment horizontal="center" vertical="bottom"/>
    </dxf>
    <dxf>
      <numFmt numFmtId="164" formatCode="_-[$$-409]* #,##0.00_ ;_-[$$-409]* \-#,##0.00\ ;_-[$$-409]* &quot;-&quot;??_ ;_-@_ 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[trades.xlsx]Gráficos!Tabela dinâmica2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Acumulado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400" b="1"/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Gráficos!$B$3:$B$4</c:f>
              <c:strCache>
                <c:ptCount val="1"/>
                <c:pt idx="0">
                  <c:v>Sum of Profit/Loss Amount</c:v>
                </c:pt>
              </c:strCache>
            </c:strRef>
          </c:tx>
          <c:invertIfNegative val="0"/>
          <c:cat>
            <c:strRef>
              <c:f>Gráficos!$A$5:$A$31</c:f>
              <c:strCache>
                <c:ptCount val="26"/>
                <c:pt idx="0">
                  <c:v>14-10-25</c:v>
                </c:pt>
                <c:pt idx="1">
                  <c:v>15-10-25</c:v>
                </c:pt>
                <c:pt idx="2">
                  <c:v>16-10-25</c:v>
                </c:pt>
                <c:pt idx="3">
                  <c:v>17-10-25</c:v>
                </c:pt>
                <c:pt idx="4">
                  <c:v>20-10-25</c:v>
                </c:pt>
                <c:pt idx="5">
                  <c:v>21-10-25</c:v>
                </c:pt>
                <c:pt idx="6">
                  <c:v>22-10-25</c:v>
                </c:pt>
                <c:pt idx="7">
                  <c:v>23-10-25</c:v>
                </c:pt>
                <c:pt idx="8">
                  <c:v>24-10-25</c:v>
                </c:pt>
                <c:pt idx="9">
                  <c:v>26-10-25</c:v>
                </c:pt>
                <c:pt idx="10">
                  <c:v>27-10-25</c:v>
                </c:pt>
                <c:pt idx="11">
                  <c:v>28-10-25</c:v>
                </c:pt>
                <c:pt idx="12">
                  <c:v>29-10-25</c:v>
                </c:pt>
                <c:pt idx="13">
                  <c:v>30-10-25</c:v>
                </c:pt>
                <c:pt idx="14">
                  <c:v>01-11-25</c:v>
                </c:pt>
                <c:pt idx="15">
                  <c:v>03-11-25</c:v>
                </c:pt>
                <c:pt idx="16">
                  <c:v>04-11-25</c:v>
                </c:pt>
                <c:pt idx="17">
                  <c:v>05-11-25</c:v>
                </c:pt>
                <c:pt idx="18">
                  <c:v>06-11-25</c:v>
                </c:pt>
                <c:pt idx="19">
                  <c:v>07-11-25</c:v>
                </c:pt>
                <c:pt idx="20">
                  <c:v>11-11-25</c:v>
                </c:pt>
                <c:pt idx="21">
                  <c:v>12-11-25</c:v>
                </c:pt>
                <c:pt idx="22">
                  <c:v>13-11-25</c:v>
                </c:pt>
                <c:pt idx="23">
                  <c:v>15-11-25</c:v>
                </c:pt>
                <c:pt idx="24">
                  <c:v>17-11-25</c:v>
                </c:pt>
                <c:pt idx="25">
                  <c:v>18-11-25</c:v>
                </c:pt>
              </c:strCache>
            </c:strRef>
          </c:cat>
          <c:val>
            <c:numRef>
              <c:f>Gráficos!$B$5:$B$31</c:f>
              <c:numCache>
                <c:formatCode>_-[$$-409]* #,##0.00_ ;_-[$$-409]* \-#,##0.00\ ;_-[$$-409]* "-"??_ ;_-@_ </c:formatCode>
                <c:ptCount val="26"/>
                <c:pt idx="0">
                  <c:v>49.5</c:v>
                </c:pt>
                <c:pt idx="1">
                  <c:v>44.1</c:v>
                </c:pt>
                <c:pt idx="2">
                  <c:v>132.80000000000001</c:v>
                </c:pt>
                <c:pt idx="3">
                  <c:v>68.47999999999999</c:v>
                </c:pt>
                <c:pt idx="4">
                  <c:v>55.69</c:v>
                </c:pt>
                <c:pt idx="5">
                  <c:v>115.77</c:v>
                </c:pt>
                <c:pt idx="6">
                  <c:v>60.08</c:v>
                </c:pt>
                <c:pt idx="7">
                  <c:v>93.04</c:v>
                </c:pt>
                <c:pt idx="8">
                  <c:v>58.32</c:v>
                </c:pt>
                <c:pt idx="9">
                  <c:v>7.17</c:v>
                </c:pt>
                <c:pt idx="10">
                  <c:v>69.930000000000007</c:v>
                </c:pt>
                <c:pt idx="11">
                  <c:v>78.03</c:v>
                </c:pt>
                <c:pt idx="12">
                  <c:v>26.97</c:v>
                </c:pt>
                <c:pt idx="13">
                  <c:v>60.2</c:v>
                </c:pt>
                <c:pt idx="14">
                  <c:v>98.25</c:v>
                </c:pt>
                <c:pt idx="15">
                  <c:v>38.4</c:v>
                </c:pt>
                <c:pt idx="16">
                  <c:v>56.7</c:v>
                </c:pt>
                <c:pt idx="17">
                  <c:v>229.89</c:v>
                </c:pt>
                <c:pt idx="18">
                  <c:v>51.2</c:v>
                </c:pt>
                <c:pt idx="19">
                  <c:v>5.42</c:v>
                </c:pt>
                <c:pt idx="20">
                  <c:v>116.94999999999999</c:v>
                </c:pt>
                <c:pt idx="21">
                  <c:v>209.41</c:v>
                </c:pt>
                <c:pt idx="22">
                  <c:v>193.47</c:v>
                </c:pt>
                <c:pt idx="23">
                  <c:v>177.95</c:v>
                </c:pt>
                <c:pt idx="24">
                  <c:v>104.73</c:v>
                </c:pt>
                <c:pt idx="25">
                  <c:v>255.97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BC-47A6-93F6-B3CF225C0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7549024"/>
        <c:axId val="767544224"/>
      </c:barChart>
      <c:lineChart>
        <c:grouping val="standard"/>
        <c:varyColors val="0"/>
        <c:ser>
          <c:idx val="1"/>
          <c:order val="1"/>
          <c:tx>
            <c:strRef>
              <c:f>Gráficos!$C$3:$C$4</c:f>
              <c:strCache>
                <c:ptCount val="1"/>
                <c:pt idx="0">
                  <c:v>Soma de For accumulated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Gráficos!$A$5:$A$31</c:f>
              <c:strCache>
                <c:ptCount val="26"/>
                <c:pt idx="0">
                  <c:v>14-10-25</c:v>
                </c:pt>
                <c:pt idx="1">
                  <c:v>15-10-25</c:v>
                </c:pt>
                <c:pt idx="2">
                  <c:v>16-10-25</c:v>
                </c:pt>
                <c:pt idx="3">
                  <c:v>17-10-25</c:v>
                </c:pt>
                <c:pt idx="4">
                  <c:v>20-10-25</c:v>
                </c:pt>
                <c:pt idx="5">
                  <c:v>21-10-25</c:v>
                </c:pt>
                <c:pt idx="6">
                  <c:v>22-10-25</c:v>
                </c:pt>
                <c:pt idx="7">
                  <c:v>23-10-25</c:v>
                </c:pt>
                <c:pt idx="8">
                  <c:v>24-10-25</c:v>
                </c:pt>
                <c:pt idx="9">
                  <c:v>26-10-25</c:v>
                </c:pt>
                <c:pt idx="10">
                  <c:v>27-10-25</c:v>
                </c:pt>
                <c:pt idx="11">
                  <c:v>28-10-25</c:v>
                </c:pt>
                <c:pt idx="12">
                  <c:v>29-10-25</c:v>
                </c:pt>
                <c:pt idx="13">
                  <c:v>30-10-25</c:v>
                </c:pt>
                <c:pt idx="14">
                  <c:v>01-11-25</c:v>
                </c:pt>
                <c:pt idx="15">
                  <c:v>03-11-25</c:v>
                </c:pt>
                <c:pt idx="16">
                  <c:v>04-11-25</c:v>
                </c:pt>
                <c:pt idx="17">
                  <c:v>05-11-25</c:v>
                </c:pt>
                <c:pt idx="18">
                  <c:v>06-11-25</c:v>
                </c:pt>
                <c:pt idx="19">
                  <c:v>07-11-25</c:v>
                </c:pt>
                <c:pt idx="20">
                  <c:v>11-11-25</c:v>
                </c:pt>
                <c:pt idx="21">
                  <c:v>12-11-25</c:v>
                </c:pt>
                <c:pt idx="22">
                  <c:v>13-11-25</c:v>
                </c:pt>
                <c:pt idx="23">
                  <c:v>15-11-25</c:v>
                </c:pt>
                <c:pt idx="24">
                  <c:v>17-11-25</c:v>
                </c:pt>
                <c:pt idx="25">
                  <c:v>18-11-25</c:v>
                </c:pt>
              </c:strCache>
            </c:strRef>
          </c:cat>
          <c:val>
            <c:numRef>
              <c:f>Gráficos!$C$5:$C$31</c:f>
              <c:numCache>
                <c:formatCode>General</c:formatCode>
                <c:ptCount val="26"/>
                <c:pt idx="0">
                  <c:v>49.5</c:v>
                </c:pt>
                <c:pt idx="1">
                  <c:v>93.6</c:v>
                </c:pt>
                <c:pt idx="2">
                  <c:v>226.4</c:v>
                </c:pt>
                <c:pt idx="3">
                  <c:v>294.88</c:v>
                </c:pt>
                <c:pt idx="4">
                  <c:v>350.57</c:v>
                </c:pt>
                <c:pt idx="5">
                  <c:v>466.34</c:v>
                </c:pt>
                <c:pt idx="6">
                  <c:v>526.41999999999996</c:v>
                </c:pt>
                <c:pt idx="7">
                  <c:v>619.45999999999992</c:v>
                </c:pt>
                <c:pt idx="8">
                  <c:v>677.78</c:v>
                </c:pt>
                <c:pt idx="9">
                  <c:v>684.94999999999993</c:v>
                </c:pt>
                <c:pt idx="10">
                  <c:v>754.87999999999988</c:v>
                </c:pt>
                <c:pt idx="11">
                  <c:v>832.90999999999985</c:v>
                </c:pt>
                <c:pt idx="12">
                  <c:v>859.87999999999988</c:v>
                </c:pt>
                <c:pt idx="13">
                  <c:v>920.07999999999993</c:v>
                </c:pt>
                <c:pt idx="14">
                  <c:v>1018.3299999999999</c:v>
                </c:pt>
                <c:pt idx="15">
                  <c:v>1056.73</c:v>
                </c:pt>
                <c:pt idx="16">
                  <c:v>1113.43</c:v>
                </c:pt>
                <c:pt idx="17">
                  <c:v>1343.3200000000002</c:v>
                </c:pt>
                <c:pt idx="18">
                  <c:v>1394.5200000000002</c:v>
                </c:pt>
                <c:pt idx="19">
                  <c:v>1399.9400000000003</c:v>
                </c:pt>
                <c:pt idx="20">
                  <c:v>1516.8900000000003</c:v>
                </c:pt>
                <c:pt idx="21">
                  <c:v>1726.3000000000004</c:v>
                </c:pt>
                <c:pt idx="22">
                  <c:v>1919.7700000000004</c:v>
                </c:pt>
                <c:pt idx="23">
                  <c:v>2097.7200000000003</c:v>
                </c:pt>
                <c:pt idx="24">
                  <c:v>2202.4500000000003</c:v>
                </c:pt>
                <c:pt idx="25">
                  <c:v>2458.42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3BC-47A6-93F6-B3CF225C0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0897535"/>
        <c:axId val="2080897055"/>
      </c:lineChart>
      <c:catAx>
        <c:axId val="76754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7544224"/>
        <c:crosses val="autoZero"/>
        <c:auto val="1"/>
        <c:lblAlgn val="ctr"/>
        <c:lblOffset val="100"/>
        <c:noMultiLvlLbl val="0"/>
      </c:catAx>
      <c:valAx>
        <c:axId val="76754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Montante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7549024"/>
        <c:crosses val="autoZero"/>
        <c:crossBetween val="between"/>
      </c:valAx>
      <c:valAx>
        <c:axId val="208089705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080897535"/>
        <c:crosses val="max"/>
        <c:crossBetween val="between"/>
      </c:valAx>
      <c:catAx>
        <c:axId val="20808975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80897055"/>
        <c:auto val="1"/>
        <c:lblAlgn val="ctr"/>
        <c:lblOffset val="100"/>
        <c:noMultiLvlLbl val="0"/>
      </c:cat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76200</xdr:rowOff>
    </xdr:from>
    <xdr:to>
      <xdr:col>28</xdr:col>
      <xdr:colOff>596900</xdr:colOff>
      <xdr:row>52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lan Boury" refreshedDate="45979.37679282407" createdVersion="8" refreshedVersion="8" minRefreshableVersion="3" recordCount="52" xr:uid="{00000000-000A-0000-FFFF-FFFF01000000}">
  <cacheSource type="worksheet">
    <worksheetSource name="Tabela1"/>
  </cacheSource>
  <cacheFields count="12">
    <cacheField name="Type" numFmtId="0">
      <sharedItems/>
    </cacheField>
    <cacheField name="Asset Name" numFmtId="0">
      <sharedItems/>
    </cacheField>
    <cacheField name="Asset Ticker" numFmtId="0">
      <sharedItems/>
    </cacheField>
    <cacheField name="Asset Class" numFmtId="0">
      <sharedItems/>
    </cacheField>
    <cacheField name="Profit/Loss Amount" numFmtId="164">
      <sharedItems containsSemiMixedTypes="0" containsString="0" containsNumber="1" minValue="0.9" maxValue="237.95"/>
    </cacheField>
    <cacheField name="For accumulated" numFmtId="164">
      <sharedItems containsSemiMixedTypes="0" containsString="0" containsNumber="1" minValue="0.9" maxValue="237.95"/>
    </cacheField>
    <cacheField name="Profit/Loss Percent" numFmtId="0">
      <sharedItems containsSemiMixedTypes="0" containsString="0" containsNumber="1" minValue="5.28" maxValue="71.06"/>
    </cacheField>
    <cacheField name="Lots" numFmtId="0">
      <sharedItems containsSemiMixedTypes="0" containsString="0" containsNumber="1" minValue="0.02" maxValue="5.5"/>
    </cacheField>
    <cacheField name="Invested Amount" numFmtId="0">
      <sharedItems containsSemiMixedTypes="0" containsString="0" containsNumber="1" minValue="1.41" maxValue="589.16"/>
    </cacheField>
    <cacheField name="Open Price" numFmtId="0">
      <sharedItems containsSemiMixedTypes="0" containsString="0" containsNumber="1" minValue="0.79190000000000005" maxValue="4362.07"/>
    </cacheField>
    <cacheField name="Close Price" numFmtId="0">
      <sharedItems containsSemiMixedTypes="0" containsString="0" containsNumber="1" minValue="0.79232999999999998" maxValue="4369.01"/>
    </cacheField>
    <cacheField name="Close Date" numFmtId="14">
      <sharedItems containsSemiMixedTypes="0" containsNonDate="0" containsDate="1" containsString="0" minDate="2025-10-14T00:00:00" maxDate="2025-11-19T00:00:00" count="26">
        <d v="2025-11-18T00:00:00"/>
        <d v="2025-11-17T00:00:00"/>
        <d v="2025-11-15T00:00:00"/>
        <d v="2025-11-13T00:00:00"/>
        <d v="2025-11-12T00:00:00"/>
        <d v="2025-11-11T00:00:00"/>
        <d v="2025-11-07T00:00:00"/>
        <d v="2025-11-06T00:00:00"/>
        <d v="2025-11-05T00:00:00"/>
        <d v="2025-11-04T00:00:00"/>
        <d v="2025-11-03T00:00:00"/>
        <d v="2025-11-01T00:00:00"/>
        <d v="2025-10-30T00:00:00"/>
        <d v="2025-10-29T00:00:00"/>
        <d v="2025-10-28T00:00:00"/>
        <d v="2025-10-27T00:00:00"/>
        <d v="2025-10-26T00:00:00"/>
        <d v="2025-10-24T00:00:00"/>
        <d v="2025-10-23T00:00:00"/>
        <d v="2025-10-22T00:00:00"/>
        <d v="2025-10-21T00:00:00"/>
        <d v="2025-10-20T00:00:00"/>
        <d v="2025-10-17T00:00:00"/>
        <d v="2025-10-16T00:00:00"/>
        <d v="2025-10-15T00:00:00"/>
        <d v="2025-10-14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Buy"/>
    <s v="British Pound / US Dollar"/>
    <s v="GBP/USD"/>
    <s v="Forex"/>
    <n v="18.02"/>
    <n v="18.02"/>
    <n v="26.31"/>
    <n v="0.26"/>
    <n v="68.48"/>
    <n v="1.31623"/>
    <n v="1.31694"/>
    <x v="0"/>
  </r>
  <r>
    <s v="Buy"/>
    <s v="Ethereum"/>
    <s v="ETH/USD"/>
    <s v="Crypto"/>
    <n v="237.95"/>
    <n v="237.95"/>
    <n v="71.06"/>
    <n v="5.5"/>
    <n v="334.86"/>
    <n v="2998.53"/>
    <n v="3044.21"/>
    <x v="0"/>
  </r>
  <r>
    <s v="Sell"/>
    <s v="American Express"/>
    <s v="AXP"/>
    <s v="Stocks"/>
    <n v="104.73"/>
    <n v="104.73"/>
    <n v="38.49"/>
    <n v="0.4"/>
    <n v="272.12"/>
    <n v="342.18"/>
    <n v="340.15"/>
    <x v="1"/>
  </r>
  <r>
    <s v="Buy"/>
    <s v="Ethereum"/>
    <s v="ETH/USD"/>
    <s v="Crypto"/>
    <n v="177.95"/>
    <n v="177.95"/>
    <n v="65.819999999999993"/>
    <n v="4.2"/>
    <n v="270.36"/>
    <n v="3176.21"/>
    <n v="3218.58"/>
    <x v="2"/>
  </r>
  <r>
    <s v="Buy"/>
    <s v="US Crude Oil"/>
    <s v="WTIUSD"/>
    <s v="Commodities"/>
    <n v="63.25"/>
    <n v="63.25"/>
    <n v="17.78"/>
    <n v="0.12"/>
    <n v="355.8"/>
    <n v="58.773000000000003"/>
    <n v="59.301000000000002"/>
    <x v="3"/>
  </r>
  <r>
    <s v="Sell"/>
    <s v="Euro / US Dollar"/>
    <s v="EUR/USD"/>
    <s v="Forex"/>
    <n v="15.95"/>
    <n v="15.95"/>
    <n v="27.44"/>
    <n v="0.25"/>
    <n v="58.13"/>
    <n v="1.16333"/>
    <n v="1.16273"/>
    <x v="3"/>
  </r>
  <r>
    <s v="Buy"/>
    <s v="US Dollar / Japanese Yen"/>
    <s v="USD/JPY"/>
    <s v="Forex"/>
    <n v="12.81"/>
    <n v="12.81"/>
    <n v="21.35"/>
    <n v="0.3"/>
    <n v="59.99"/>
    <n v="154.49299999999999"/>
    <n v="154.559"/>
    <x v="3"/>
  </r>
  <r>
    <s v="Buy"/>
    <s v="US Crude Oil"/>
    <s v="WTIUSD"/>
    <s v="Commodities"/>
    <n v="87.61"/>
    <n v="87.61"/>
    <n v="14.87"/>
    <n v="0.2"/>
    <n v="589.16"/>
    <n v="58.476999999999997"/>
    <n v="58.915999999999997"/>
    <x v="3"/>
  </r>
  <r>
    <s v="Sell"/>
    <s v="US Dollar / Japanese Yen"/>
    <s v="USD/JPY"/>
    <s v="Forex"/>
    <n v="2.64"/>
    <n v="2.64"/>
    <n v="5.28"/>
    <n v="0.25"/>
    <n v="50"/>
    <n v="154.602"/>
    <n v="154.52099999999999"/>
    <x v="3"/>
  </r>
  <r>
    <s v="Buy"/>
    <s v="Euro / US Dollar"/>
    <s v="EUR/USD"/>
    <s v="Forex"/>
    <n v="11.21"/>
    <n v="11.21"/>
    <n v="19.34"/>
    <n v="0.25"/>
    <n v="57.97"/>
    <n v="1.15876"/>
    <n v="1.1595200000000001"/>
    <x v="3"/>
  </r>
  <r>
    <s v="Buy"/>
    <s v="Ethereum"/>
    <s v="ETH/USD"/>
    <s v="Crypto"/>
    <n v="64.400000000000006"/>
    <n v="64.400000000000006"/>
    <n v="47.17"/>
    <n v="2"/>
    <n v="136.52000000000001"/>
    <n v="3380.82"/>
    <n v="3413.02"/>
    <x v="4"/>
  </r>
  <r>
    <s v="Buy"/>
    <s v="Ethereum"/>
    <s v="ETH/USD"/>
    <s v="Crypto"/>
    <n v="142.29"/>
    <n v="142.29"/>
    <n v="63.91"/>
    <n v="3.14"/>
    <n v="222.63"/>
    <n v="3496.97"/>
    <n v="3545.1"/>
    <x v="4"/>
  </r>
  <r>
    <s v="Buy"/>
    <s v="Ethereum"/>
    <s v="ETH/USD"/>
    <s v="Crypto"/>
    <n v="0.9"/>
    <n v="0.9"/>
    <n v="63.47"/>
    <n v="0.02"/>
    <n v="1.41"/>
    <n v="3496.97"/>
    <n v="3545.1"/>
    <x v="4"/>
  </r>
  <r>
    <s v="Buy"/>
    <s v="Ethereum"/>
    <s v="ETH/USD"/>
    <s v="Crypto"/>
    <n v="1.82"/>
    <n v="1.82"/>
    <n v="64.17"/>
    <n v="0.04"/>
    <n v="2.83"/>
    <n v="3496.97"/>
    <n v="3545.29"/>
    <x v="4"/>
  </r>
  <r>
    <s v="Buy"/>
    <s v="US Dollar / Canadian Dollar"/>
    <s v="USD/CAD"/>
    <s v="Forex"/>
    <n v="7.67"/>
    <n v="7.67"/>
    <n v="15.34"/>
    <n v="0.25"/>
    <n v="50"/>
    <n v="1.40089"/>
    <n v="1.4013199999999999"/>
    <x v="5"/>
  </r>
  <r>
    <s v="Sell"/>
    <s v="Euro / US Dollar"/>
    <s v="EUR/USD"/>
    <s v="Forex"/>
    <n v="23.04"/>
    <n v="23.04"/>
    <n v="41.44"/>
    <n v="0.24"/>
    <n v="55.59"/>
    <n v="1.15924"/>
    <n v="1.15828"/>
    <x v="5"/>
  </r>
  <r>
    <s v="Buy"/>
    <s v="Gold / US Dollar (spot)"/>
    <s v="XAUUSD"/>
    <s v="Commodities"/>
    <n v="86.24"/>
    <n v="86.24"/>
    <n v="26.18"/>
    <n v="0.08"/>
    <n v="329.38"/>
    <n v="4106.54"/>
    <n v="4117.32"/>
    <x v="5"/>
  </r>
  <r>
    <s v="Sell"/>
    <s v="US Dollar / Canadian Dollar"/>
    <s v="USD/CAD"/>
    <s v="Forex"/>
    <n v="5.42"/>
    <n v="5.42"/>
    <n v="10.84"/>
    <n v="0.25"/>
    <n v="50"/>
    <n v="1.4054599999999999"/>
    <n v="1.4048499999999999"/>
    <x v="6"/>
  </r>
  <r>
    <s v="Buy"/>
    <s v="Netflix"/>
    <s v="NFLX"/>
    <s v="Stocks"/>
    <n v="51.2"/>
    <n v="51.2"/>
    <n v="16.649999999999999"/>
    <n v="0.14000000000000001"/>
    <n v="307.51"/>
    <n v="1094.29"/>
    <n v="1098.28"/>
    <x v="7"/>
  </r>
  <r>
    <s v="Sell"/>
    <s v="Gold / US Dollar (spot)"/>
    <s v="XAUUSD"/>
    <s v="Commodities"/>
    <n v="124.6"/>
    <n v="124.6"/>
    <n v="39.25"/>
    <n v="0.08"/>
    <n v="317.48"/>
    <n v="3983.06"/>
    <n v="3968.5"/>
    <x v="8"/>
  </r>
  <r>
    <s v="Buy"/>
    <s v="XRP (Ripple)"/>
    <s v="XRP/USD"/>
    <s v="Crypto"/>
    <n v="64.41"/>
    <n v="64.41"/>
    <n v="65.430000000000007"/>
    <n v="2.1"/>
    <n v="98.43"/>
    <n v="2.3130700000000002"/>
    <n v="2.3437399999999999"/>
    <x v="8"/>
  </r>
  <r>
    <s v="Buy"/>
    <s v="XRP (Ripple)"/>
    <s v="XRP/USD"/>
    <s v="Crypto"/>
    <n v="16.690000000000001"/>
    <n v="16.690000000000001"/>
    <n v="39.03"/>
    <n v="0.93"/>
    <n v="42.76"/>
    <n v="2.2791700000000001"/>
    <n v="2.29894"/>
    <x v="8"/>
  </r>
  <r>
    <s v="Buy"/>
    <s v="XRP (Ripple)"/>
    <s v="XRP/USD"/>
    <s v="Crypto"/>
    <n v="8.06"/>
    <n v="8.06"/>
    <n v="39.83"/>
    <n v="0.44"/>
    <n v="20.23"/>
    <n v="2.2791700000000001"/>
    <n v="2.2993399999999999"/>
    <x v="8"/>
  </r>
  <r>
    <s v="Buy"/>
    <s v="XRP (Ripple)"/>
    <s v="XRP/USD"/>
    <s v="Crypto"/>
    <n v="16.13"/>
    <n v="16.13"/>
    <n v="39.86"/>
    <n v="0.88"/>
    <n v="40.46"/>
    <n v="2.2791700000000001"/>
    <n v="2.2993399999999999"/>
    <x v="8"/>
  </r>
  <r>
    <s v="Buy"/>
    <s v="Gold / US Dollar (spot)"/>
    <s v="XAUUSD"/>
    <s v="Commodities"/>
    <n v="56.7"/>
    <n v="56.7"/>
    <n v="15.86"/>
    <n v="0.09"/>
    <n v="357.46"/>
    <n v="3965.5"/>
    <n v="3971.8"/>
    <x v="9"/>
  </r>
  <r>
    <s v="Buy"/>
    <s v="Gold / US Dollar (spot)"/>
    <s v="XAUUSD"/>
    <s v="Commodities"/>
    <n v="38.4"/>
    <n v="38.4"/>
    <n v="12"/>
    <n v="0.08"/>
    <n v="319.91000000000003"/>
    <n v="3994.17"/>
    <n v="3998.97"/>
    <x v="10"/>
  </r>
  <r>
    <s v="Buy"/>
    <s v="Ethereum"/>
    <s v="ETH/USD"/>
    <s v="Crypto"/>
    <n v="14.81"/>
    <n v="14.81"/>
    <n v="56.06"/>
    <n v="0.34"/>
    <n v="26.42"/>
    <n v="3841.74"/>
    <n v="3885.3"/>
    <x v="11"/>
  </r>
  <r>
    <s v="Buy"/>
    <s v="Ethereum"/>
    <s v="ETH/USD"/>
    <s v="Crypto"/>
    <n v="19.170000000000002"/>
    <n v="19.170000000000002"/>
    <n v="56.07"/>
    <n v="0.44"/>
    <n v="34.19"/>
    <n v="3841.74"/>
    <n v="3885.3"/>
    <x v="11"/>
  </r>
  <r>
    <s v="Buy"/>
    <s v="Ethereum"/>
    <s v="ETH/USD"/>
    <s v="Crypto"/>
    <n v="42.69"/>
    <n v="42.69"/>
    <n v="56.06"/>
    <n v="0.98"/>
    <n v="76.150000000000006"/>
    <n v="3841.74"/>
    <n v="3885.3"/>
    <x v="11"/>
  </r>
  <r>
    <s v="Buy"/>
    <s v="Ethereum"/>
    <s v="ETH/USD"/>
    <s v="Crypto"/>
    <n v="21.58"/>
    <n v="21.58"/>
    <n v="56.67"/>
    <n v="0.49"/>
    <n v="38.08"/>
    <n v="3841.74"/>
    <n v="3885.78"/>
    <x v="11"/>
  </r>
  <r>
    <s v="Buy"/>
    <s v="British Pound / US Dollar"/>
    <s v="GBP/USD"/>
    <s v="Forex"/>
    <n v="14.06"/>
    <n v="14.06"/>
    <n v="28.11"/>
    <n v="0.19"/>
    <n v="50.01"/>
    <n v="1.31541"/>
    <n v="1.3161499999999999"/>
    <x v="12"/>
  </r>
  <r>
    <s v="Buy"/>
    <s v="Euro / US Dollar"/>
    <s v="EUR/USD"/>
    <s v="Forex"/>
    <n v="13.86"/>
    <n v="13.86"/>
    <n v="28.51"/>
    <n v="0.21"/>
    <n v="48.61"/>
    <n v="1.15686"/>
    <n v="1.1575200000000001"/>
    <x v="12"/>
  </r>
  <r>
    <s v="Sell"/>
    <s v="Gold / US Dollar (spot)"/>
    <s v="XAUUSD"/>
    <s v="Commodities"/>
    <n v="32.28"/>
    <n v="32.28"/>
    <n v="13.34"/>
    <n v="0.06"/>
    <n v="241.93"/>
    <n v="4037.59"/>
    <n v="4032.21"/>
    <x v="12"/>
  </r>
  <r>
    <s v="Buy"/>
    <s v="US Crude Oil"/>
    <s v="WTIUSD"/>
    <s v="Commodities"/>
    <n v="26.97"/>
    <n v="26.97"/>
    <n v="14.77"/>
    <n v="0.06"/>
    <n v="182.58"/>
    <n v="60.427999999999997"/>
    <n v="60.860999999999997"/>
    <x v="13"/>
  </r>
  <r>
    <s v="Buy"/>
    <s v="Gold / US Dollar (spot)"/>
    <s v="XAUUSD"/>
    <s v="Commodities"/>
    <n v="78.03"/>
    <n v="78.03"/>
    <n v="21.87"/>
    <n v="0.09"/>
    <n v="356.86"/>
    <n v="3956.53"/>
    <n v="3965.2"/>
    <x v="14"/>
  </r>
  <r>
    <s v="Sell"/>
    <s v="Gold / US Dollar (spot)"/>
    <s v="XAUUSD"/>
    <s v="Commodities"/>
    <n v="69.930000000000007"/>
    <n v="69.930000000000007"/>
    <n v="24.93"/>
    <n v="7.0000000000000007E-2"/>
    <n v="280.55"/>
    <n v="4017.85"/>
    <n v="4007.86"/>
    <x v="15"/>
  </r>
  <r>
    <s v="Sell"/>
    <s v="US Dollar / Japanese Yen"/>
    <s v="USD/JPY"/>
    <s v="Forex"/>
    <n v="7.17"/>
    <n v="7.17"/>
    <n v="17.920000000000002"/>
    <n v="0.2"/>
    <n v="40"/>
    <n v="152.78"/>
    <n v="152.703"/>
    <x v="16"/>
  </r>
  <r>
    <s v="Sell"/>
    <s v="Gold / US Dollar (spot)"/>
    <s v="XAUUSD"/>
    <s v="Commodities"/>
    <n v="58.32"/>
    <n v="58.32"/>
    <n v="23.67"/>
    <n v="0.06"/>
    <n v="246.35"/>
    <n v="4115.57"/>
    <n v="4105.8500000000004"/>
    <x v="17"/>
  </r>
  <r>
    <s v="Buy"/>
    <s v="Tesla"/>
    <s v="TSLA"/>
    <s v="Stocks"/>
    <n v="93.04"/>
    <n v="93.04"/>
    <n v="65.319999999999993"/>
    <n v="0.16"/>
    <n v="142.43"/>
    <n v="439.17"/>
    <n v="445.12"/>
    <x v="18"/>
  </r>
  <r>
    <s v="Buy"/>
    <s v="Gold / US Dollar (spot)"/>
    <s v="XAUUSD"/>
    <s v="Commodities"/>
    <n v="44.17"/>
    <n v="44.17"/>
    <n v="10.75"/>
    <n v="0.1"/>
    <n v="411.06"/>
    <n v="4104.0600000000004"/>
    <n v="4110.67"/>
    <x v="19"/>
  </r>
  <r>
    <s v="Sell"/>
    <s v="British Pound / US Dollar"/>
    <s v="GBP/USD"/>
    <s v="Forex"/>
    <n v="5.65"/>
    <n v="5.65"/>
    <n v="21.22"/>
    <n v="0.1"/>
    <n v="26.62"/>
    <n v="1.3320399999999999"/>
    <n v="1.33141"/>
    <x v="19"/>
  </r>
  <r>
    <s v="Sell"/>
    <s v="Euro / US Dollar"/>
    <s v="EUR/USD"/>
    <s v="Forex"/>
    <n v="10.26"/>
    <n v="10.26"/>
    <n v="23.28"/>
    <n v="0.19"/>
    <n v="44.08"/>
    <n v="1.16056"/>
    <n v="1.1600200000000001"/>
    <x v="19"/>
  </r>
  <r>
    <s v="Buy"/>
    <s v="Gold / US Dollar (spot)"/>
    <s v="XAUUSD"/>
    <s v="Commodities"/>
    <n v="103.52"/>
    <n v="103.52"/>
    <n v="31.57"/>
    <n v="0.08"/>
    <n v="327.95"/>
    <n v="4086.53"/>
    <n v="4099.47"/>
    <x v="20"/>
  </r>
  <r>
    <s v="Buy"/>
    <s v="US Dollar / Japanese Yen"/>
    <s v="USD/JPY"/>
    <s v="Forex"/>
    <n v="12.25"/>
    <n v="12.25"/>
    <n v="43.75"/>
    <n v="0.14000000000000001"/>
    <n v="28"/>
    <n v="151.804"/>
    <n v="151.86699999999999"/>
    <x v="20"/>
  </r>
  <r>
    <s v="Buy"/>
    <s v="US Dollar / Swiss Franc"/>
    <s v="USD/CHF"/>
    <s v="Forex"/>
    <n v="9.77"/>
    <n v="9.77"/>
    <n v="27.14"/>
    <n v="0.18"/>
    <n v="35.99"/>
    <n v="0.79190000000000005"/>
    <n v="0.79232999999999998"/>
    <x v="21"/>
  </r>
  <r>
    <s v="Buy"/>
    <s v="Gold / US Dollar (spot)"/>
    <s v="XAUUSD"/>
    <s v="Commodities"/>
    <n v="45.92"/>
    <n v="45.92"/>
    <n v="15.02"/>
    <n v="7.0000000000000007E-2"/>
    <n v="305.8"/>
    <n v="4362.07"/>
    <n v="4368.63"/>
    <x v="21"/>
  </r>
  <r>
    <s v="Buy"/>
    <s v="Gold / US Dollar (spot)"/>
    <s v="XAUUSD"/>
    <s v="Commodities"/>
    <n v="53.12"/>
    <n v="53.12"/>
    <n v="15.71"/>
    <n v="0.08"/>
    <n v="338.1"/>
    <n v="4219.6499999999996"/>
    <n v="4226.29"/>
    <x v="22"/>
  </r>
  <r>
    <s v="Sell"/>
    <s v="Euro / US Dollar"/>
    <s v="EUR/USD"/>
    <s v="Forex"/>
    <n v="15.36"/>
    <n v="15.36"/>
    <n v="41.07"/>
    <n v="0.16"/>
    <n v="37.39"/>
    <n v="1.1695599999999999"/>
    <n v="1.1686000000000001"/>
    <x v="22"/>
  </r>
  <r>
    <s v="Buy"/>
    <s v="Gold / US Dollar (spot)"/>
    <s v="XAUUSD"/>
    <s v="Commodities"/>
    <n v="67.680000000000007"/>
    <n v="67.680000000000007"/>
    <n v="25.82"/>
    <n v="0.06"/>
    <n v="262.14"/>
    <n v="4357.7299999999996"/>
    <n v="4369.01"/>
    <x v="23"/>
  </r>
  <r>
    <s v="Sell"/>
    <s v="Bank of America Corporation"/>
    <s v="BAC"/>
    <s v="Stocks"/>
    <n v="65.12"/>
    <n v="65.12"/>
    <n v="52.47"/>
    <n v="1.2"/>
    <n v="124.1"/>
    <n v="52.25"/>
    <n v="51.71"/>
    <x v="23"/>
  </r>
  <r>
    <s v="Buy"/>
    <s v="Gold / US Dollar (spot)"/>
    <s v="XAUUSD"/>
    <s v="Commodities"/>
    <n v="44.1"/>
    <n v="44.1"/>
    <n v="17.48"/>
    <n v="0.06"/>
    <n v="252.33"/>
    <n v="4198.2"/>
    <n v="4205.55"/>
    <x v="24"/>
  </r>
  <r>
    <s v="Buy"/>
    <s v="Gold / US Dollar (spot)"/>
    <s v="XAUUSD"/>
    <s v="Commodities"/>
    <n v="49.5"/>
    <n v="49.5"/>
    <n v="19.809999999999999"/>
    <n v="0.06"/>
    <n v="249.92"/>
    <n v="4157.1499999999996"/>
    <n v="4165.3999999999996"/>
    <x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4">
  <location ref="A3:C31" firstHeaderRow="1" firstDataRow="2" firstDataCol="1"/>
  <pivotFields count="12">
    <pivotField showAll="0"/>
    <pivotField showAll="0"/>
    <pivotField showAll="0"/>
    <pivotField showAll="0"/>
    <pivotField dataField="1" numFmtId="164" showAll="0"/>
    <pivotField dataField="1" showAll="0"/>
    <pivotField showAll="0"/>
    <pivotField showAll="0"/>
    <pivotField showAll="0"/>
    <pivotField showAll="0"/>
    <pivotField showAll="0"/>
    <pivotField axis="axisRow" numFmtId="14" showAll="0" sortType="ascending">
      <items count="27"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11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/Loss Amount" fld="4" baseField="0" baseItem="0" numFmtId="164"/>
    <dataField name="Soma de For accumulated" fld="5" showDataAs="runTotal" baseField="11" baseItem="0"/>
  </dataFields>
  <chartFormats count="2"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L53" headerRowDxfId="25" dataDxfId="24">
  <tableColumns count="12">
    <tableColumn id="1" xr3:uid="{00000000-0010-0000-0000-000001000000}" name="Type" totalsRowLabel="Total" dataDxfId="23" totalsRowDxfId="22"/>
    <tableColumn id="2" xr3:uid="{00000000-0010-0000-0000-000002000000}" name="Asset Name" dataDxfId="21" totalsRowDxfId="20"/>
    <tableColumn id="3" xr3:uid="{00000000-0010-0000-0000-000003000000}" name="Asset Ticker" dataDxfId="19" totalsRowDxfId="18"/>
    <tableColumn id="4" xr3:uid="{00000000-0010-0000-0000-000004000000}" name="Asset Class" dataDxfId="17" totalsRowDxfId="16"/>
    <tableColumn id="5" xr3:uid="{00000000-0010-0000-0000-000005000000}" name="Profit/Loss Amount" totalsRowFunction="sum" dataDxfId="15" totalsRowDxfId="14"/>
    <tableColumn id="13" xr3:uid="{00000000-0010-0000-0000-00000D000000}" name="For accumulated" dataDxfId="13" totalsRowDxfId="12"/>
    <tableColumn id="6" xr3:uid="{00000000-0010-0000-0000-000006000000}" name="Profit/Loss Percent" dataDxfId="11" totalsRowDxfId="10"/>
    <tableColumn id="7" xr3:uid="{00000000-0010-0000-0000-000007000000}" name="Lots" dataDxfId="9" totalsRowDxfId="8"/>
    <tableColumn id="8" xr3:uid="{00000000-0010-0000-0000-000008000000}" name="Invested Amount" dataDxfId="7" totalsRowDxfId="6"/>
    <tableColumn id="9" xr3:uid="{00000000-0010-0000-0000-000009000000}" name="Open Price" dataDxfId="5" totalsRowDxfId="4"/>
    <tableColumn id="10" xr3:uid="{00000000-0010-0000-0000-00000A000000}" name="Close Price" dataDxfId="3" totalsRowDxfId="2"/>
    <tableColumn id="11" xr3:uid="{00000000-0010-0000-0000-00000B000000}" name="Close Date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zoomScale="85" zoomScaleNormal="85" workbookViewId="0">
      <selection activeCell="A2" sqref="A2:A53"/>
    </sheetView>
  </sheetViews>
  <sheetFormatPr defaultRowHeight="14.4" x14ac:dyDescent="0.3"/>
  <cols>
    <col min="1" max="1" width="9.88671875" bestFit="1" customWidth="1"/>
    <col min="2" max="2" width="26.88671875" bestFit="1" customWidth="1"/>
    <col min="3" max="3" width="16.109375" bestFit="1" customWidth="1"/>
    <col min="4" max="4" width="15.33203125" bestFit="1" customWidth="1"/>
    <col min="5" max="5" width="23" bestFit="1" customWidth="1"/>
    <col min="6" max="6" width="23" customWidth="1"/>
    <col min="7" max="7" width="22.6640625" bestFit="1" customWidth="1"/>
    <col min="8" max="8" width="9.109375" bestFit="1" customWidth="1"/>
    <col min="9" max="9" width="21" bestFit="1" customWidth="1"/>
    <col min="10" max="11" width="15.33203125" bestFit="1" customWidth="1"/>
    <col min="12" max="12" width="15" bestFit="1" customWidth="1"/>
  </cols>
  <sheetData>
    <row r="1" spans="1:12" s="4" customFormat="1" ht="30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1" t="s">
        <v>16</v>
      </c>
      <c r="B2" s="1" t="s">
        <v>17</v>
      </c>
      <c r="C2" s="1" t="s">
        <v>18</v>
      </c>
      <c r="D2" s="1" t="s">
        <v>19</v>
      </c>
      <c r="E2" s="5">
        <v>18.02</v>
      </c>
      <c r="F2" s="5">
        <v>18.02</v>
      </c>
      <c r="G2" s="1">
        <v>26.31</v>
      </c>
      <c r="H2" s="1">
        <v>0.26</v>
      </c>
      <c r="I2" s="1">
        <v>68.48</v>
      </c>
      <c r="J2" s="1">
        <v>1.31623</v>
      </c>
      <c r="K2" s="1">
        <v>1.31694</v>
      </c>
      <c r="L2" s="6">
        <v>45979</v>
      </c>
    </row>
    <row r="3" spans="1:12" x14ac:dyDescent="0.3">
      <c r="A3" s="1" t="s">
        <v>16</v>
      </c>
      <c r="B3" s="1" t="s">
        <v>20</v>
      </c>
      <c r="C3" s="1" t="s">
        <v>21</v>
      </c>
      <c r="D3" s="1" t="s">
        <v>22</v>
      </c>
      <c r="E3" s="5">
        <v>237.95</v>
      </c>
      <c r="F3" s="5">
        <v>237.95</v>
      </c>
      <c r="G3" s="1">
        <v>71.06</v>
      </c>
      <c r="H3" s="1">
        <v>5.5</v>
      </c>
      <c r="I3" s="1">
        <v>334.86</v>
      </c>
      <c r="J3" s="1">
        <v>2998.53</v>
      </c>
      <c r="K3" s="1">
        <v>3044.21</v>
      </c>
      <c r="L3" s="6">
        <v>45979</v>
      </c>
    </row>
    <row r="4" spans="1:12" x14ac:dyDescent="0.3">
      <c r="A4" s="1" t="s">
        <v>23</v>
      </c>
      <c r="B4" s="1" t="s">
        <v>24</v>
      </c>
      <c r="C4" s="1" t="s">
        <v>25</v>
      </c>
      <c r="D4" s="1" t="s">
        <v>26</v>
      </c>
      <c r="E4" s="5">
        <v>104.73</v>
      </c>
      <c r="F4" s="5">
        <v>104.73</v>
      </c>
      <c r="G4" s="1">
        <v>38.49</v>
      </c>
      <c r="H4" s="1">
        <v>0.4</v>
      </c>
      <c r="I4" s="1">
        <v>272.12</v>
      </c>
      <c r="J4" s="1">
        <v>342.18</v>
      </c>
      <c r="K4" s="1">
        <v>340.15</v>
      </c>
      <c r="L4" s="6">
        <v>45978</v>
      </c>
    </row>
    <row r="5" spans="1:12" x14ac:dyDescent="0.3">
      <c r="A5" s="1" t="s">
        <v>16</v>
      </c>
      <c r="B5" s="1" t="s">
        <v>20</v>
      </c>
      <c r="C5" s="1" t="s">
        <v>21</v>
      </c>
      <c r="D5" s="1" t="s">
        <v>22</v>
      </c>
      <c r="E5" s="5">
        <v>177.95</v>
      </c>
      <c r="F5" s="5">
        <v>177.95</v>
      </c>
      <c r="G5" s="1">
        <v>65.819999999999993</v>
      </c>
      <c r="H5" s="1">
        <v>4.2</v>
      </c>
      <c r="I5" s="1">
        <v>270.36</v>
      </c>
      <c r="J5" s="1">
        <v>3176.21</v>
      </c>
      <c r="K5" s="1">
        <v>3218.58</v>
      </c>
      <c r="L5" s="6">
        <v>45976</v>
      </c>
    </row>
    <row r="6" spans="1:12" x14ac:dyDescent="0.3">
      <c r="A6" s="1" t="s">
        <v>16</v>
      </c>
      <c r="B6" s="1" t="s">
        <v>27</v>
      </c>
      <c r="C6" s="1" t="s">
        <v>28</v>
      </c>
      <c r="D6" s="1" t="s">
        <v>29</v>
      </c>
      <c r="E6" s="5">
        <v>63.25</v>
      </c>
      <c r="F6" s="5">
        <v>63.25</v>
      </c>
      <c r="G6" s="1">
        <v>17.78</v>
      </c>
      <c r="H6" s="1">
        <v>0.12</v>
      </c>
      <c r="I6" s="1">
        <v>355.8</v>
      </c>
      <c r="J6" s="1">
        <v>58.773000000000003</v>
      </c>
      <c r="K6" s="1">
        <v>59.301000000000002</v>
      </c>
      <c r="L6" s="6">
        <v>45974</v>
      </c>
    </row>
    <row r="7" spans="1:12" x14ac:dyDescent="0.3">
      <c r="A7" s="1" t="s">
        <v>23</v>
      </c>
      <c r="B7" s="1" t="s">
        <v>30</v>
      </c>
      <c r="C7" s="1" t="s">
        <v>31</v>
      </c>
      <c r="D7" s="1" t="s">
        <v>19</v>
      </c>
      <c r="E7" s="5">
        <v>15.95</v>
      </c>
      <c r="F7" s="5">
        <v>15.95</v>
      </c>
      <c r="G7" s="1">
        <v>27.44</v>
      </c>
      <c r="H7" s="1">
        <v>0.25</v>
      </c>
      <c r="I7" s="1">
        <v>58.13</v>
      </c>
      <c r="J7" s="1">
        <v>1.16333</v>
      </c>
      <c r="K7" s="1">
        <v>1.16273</v>
      </c>
      <c r="L7" s="6">
        <v>45974</v>
      </c>
    </row>
    <row r="8" spans="1:12" x14ac:dyDescent="0.3">
      <c r="A8" s="1" t="s">
        <v>16</v>
      </c>
      <c r="B8" s="1" t="s">
        <v>32</v>
      </c>
      <c r="C8" s="1" t="s">
        <v>33</v>
      </c>
      <c r="D8" s="1" t="s">
        <v>19</v>
      </c>
      <c r="E8" s="5">
        <v>12.81</v>
      </c>
      <c r="F8" s="5">
        <v>12.81</v>
      </c>
      <c r="G8" s="1">
        <v>21.35</v>
      </c>
      <c r="H8" s="1">
        <v>0.3</v>
      </c>
      <c r="I8" s="1">
        <v>59.99</v>
      </c>
      <c r="J8" s="1">
        <v>154.49299999999999</v>
      </c>
      <c r="K8" s="1">
        <v>154.559</v>
      </c>
      <c r="L8" s="6">
        <v>45974</v>
      </c>
    </row>
    <row r="9" spans="1:12" x14ac:dyDescent="0.3">
      <c r="A9" s="1" t="s">
        <v>16</v>
      </c>
      <c r="B9" s="1" t="s">
        <v>27</v>
      </c>
      <c r="C9" s="1" t="s">
        <v>28</v>
      </c>
      <c r="D9" s="1" t="s">
        <v>29</v>
      </c>
      <c r="E9" s="5">
        <v>87.61</v>
      </c>
      <c r="F9" s="5">
        <v>87.61</v>
      </c>
      <c r="G9" s="1">
        <v>14.87</v>
      </c>
      <c r="H9" s="1">
        <v>0.2</v>
      </c>
      <c r="I9" s="1">
        <v>589.16</v>
      </c>
      <c r="J9" s="1">
        <v>58.476999999999997</v>
      </c>
      <c r="K9" s="1">
        <v>58.915999999999997</v>
      </c>
      <c r="L9" s="6">
        <v>45974</v>
      </c>
    </row>
    <row r="10" spans="1:12" x14ac:dyDescent="0.3">
      <c r="A10" s="1" t="s">
        <v>23</v>
      </c>
      <c r="B10" s="1" t="s">
        <v>32</v>
      </c>
      <c r="C10" s="1" t="s">
        <v>33</v>
      </c>
      <c r="D10" s="1" t="s">
        <v>19</v>
      </c>
      <c r="E10" s="5">
        <v>2.64</v>
      </c>
      <c r="F10" s="5">
        <v>2.64</v>
      </c>
      <c r="G10" s="1">
        <v>5.28</v>
      </c>
      <c r="H10" s="1">
        <v>0.25</v>
      </c>
      <c r="I10" s="1">
        <v>50</v>
      </c>
      <c r="J10" s="1">
        <v>154.602</v>
      </c>
      <c r="K10" s="1">
        <v>154.52099999999999</v>
      </c>
      <c r="L10" s="6">
        <v>45974</v>
      </c>
    </row>
    <row r="11" spans="1:12" x14ac:dyDescent="0.3">
      <c r="A11" s="1" t="s">
        <v>16</v>
      </c>
      <c r="B11" s="1" t="s">
        <v>30</v>
      </c>
      <c r="C11" s="1" t="s">
        <v>31</v>
      </c>
      <c r="D11" s="1" t="s">
        <v>19</v>
      </c>
      <c r="E11" s="5">
        <v>11.21</v>
      </c>
      <c r="F11" s="5">
        <v>11.21</v>
      </c>
      <c r="G11" s="1">
        <v>19.34</v>
      </c>
      <c r="H11" s="1">
        <v>0.25</v>
      </c>
      <c r="I11" s="1">
        <v>57.97</v>
      </c>
      <c r="J11" s="1">
        <v>1.15876</v>
      </c>
      <c r="K11" s="1">
        <v>1.1595200000000001</v>
      </c>
      <c r="L11" s="6">
        <v>45974</v>
      </c>
    </row>
    <row r="12" spans="1:12" x14ac:dyDescent="0.3">
      <c r="A12" s="1" t="s">
        <v>16</v>
      </c>
      <c r="B12" s="1" t="s">
        <v>20</v>
      </c>
      <c r="C12" s="1" t="s">
        <v>21</v>
      </c>
      <c r="D12" s="1" t="s">
        <v>22</v>
      </c>
      <c r="E12" s="5">
        <v>64.400000000000006</v>
      </c>
      <c r="F12" s="5">
        <v>64.400000000000006</v>
      </c>
      <c r="G12" s="1">
        <v>47.17</v>
      </c>
      <c r="H12" s="1">
        <v>2</v>
      </c>
      <c r="I12" s="1">
        <v>136.52000000000001</v>
      </c>
      <c r="J12" s="1">
        <v>3380.82</v>
      </c>
      <c r="K12" s="1">
        <v>3413.02</v>
      </c>
      <c r="L12" s="6">
        <v>45973</v>
      </c>
    </row>
    <row r="13" spans="1:12" x14ac:dyDescent="0.3">
      <c r="A13" s="1" t="s">
        <v>16</v>
      </c>
      <c r="B13" s="1" t="s">
        <v>20</v>
      </c>
      <c r="C13" s="1" t="s">
        <v>21</v>
      </c>
      <c r="D13" s="1" t="s">
        <v>22</v>
      </c>
      <c r="E13" s="5">
        <v>142.29</v>
      </c>
      <c r="F13" s="5">
        <v>142.29</v>
      </c>
      <c r="G13" s="1">
        <v>63.91</v>
      </c>
      <c r="H13" s="1">
        <v>3.14</v>
      </c>
      <c r="I13" s="1">
        <v>222.63</v>
      </c>
      <c r="J13" s="1">
        <v>3496.97</v>
      </c>
      <c r="K13" s="1">
        <v>3545.1</v>
      </c>
      <c r="L13" s="6">
        <v>45973</v>
      </c>
    </row>
    <row r="14" spans="1:12" x14ac:dyDescent="0.3">
      <c r="A14" s="1" t="s">
        <v>16</v>
      </c>
      <c r="B14" s="1" t="s">
        <v>20</v>
      </c>
      <c r="C14" s="1" t="s">
        <v>21</v>
      </c>
      <c r="D14" s="1" t="s">
        <v>22</v>
      </c>
      <c r="E14" s="5">
        <v>0.9</v>
      </c>
      <c r="F14" s="5">
        <v>0.9</v>
      </c>
      <c r="G14" s="1">
        <v>63.47</v>
      </c>
      <c r="H14" s="1">
        <v>0.02</v>
      </c>
      <c r="I14" s="1">
        <v>1.41</v>
      </c>
      <c r="J14" s="1">
        <v>3496.97</v>
      </c>
      <c r="K14" s="1">
        <v>3545.1</v>
      </c>
      <c r="L14" s="6">
        <v>45973</v>
      </c>
    </row>
    <row r="15" spans="1:12" x14ac:dyDescent="0.3">
      <c r="A15" s="1" t="s">
        <v>16</v>
      </c>
      <c r="B15" s="1" t="s">
        <v>20</v>
      </c>
      <c r="C15" s="1" t="s">
        <v>21</v>
      </c>
      <c r="D15" s="1" t="s">
        <v>22</v>
      </c>
      <c r="E15" s="5">
        <v>1.82</v>
      </c>
      <c r="F15" s="5">
        <v>1.82</v>
      </c>
      <c r="G15" s="1">
        <v>64.17</v>
      </c>
      <c r="H15" s="1">
        <v>0.04</v>
      </c>
      <c r="I15" s="1">
        <v>2.83</v>
      </c>
      <c r="J15" s="1">
        <v>3496.97</v>
      </c>
      <c r="K15" s="1">
        <v>3545.29</v>
      </c>
      <c r="L15" s="6">
        <v>45973</v>
      </c>
    </row>
    <row r="16" spans="1:12" x14ac:dyDescent="0.3">
      <c r="A16" s="1" t="s">
        <v>16</v>
      </c>
      <c r="B16" s="1" t="s">
        <v>34</v>
      </c>
      <c r="C16" s="1" t="s">
        <v>35</v>
      </c>
      <c r="D16" s="1" t="s">
        <v>19</v>
      </c>
      <c r="E16" s="5">
        <v>7.67</v>
      </c>
      <c r="F16" s="5">
        <v>7.67</v>
      </c>
      <c r="G16" s="1">
        <v>15.34</v>
      </c>
      <c r="H16" s="1">
        <v>0.25</v>
      </c>
      <c r="I16" s="1">
        <v>50</v>
      </c>
      <c r="J16" s="1">
        <v>1.40089</v>
      </c>
      <c r="K16" s="1">
        <v>1.4013199999999999</v>
      </c>
      <c r="L16" s="6">
        <v>45972</v>
      </c>
    </row>
    <row r="17" spans="1:12" x14ac:dyDescent="0.3">
      <c r="A17" s="1" t="s">
        <v>23</v>
      </c>
      <c r="B17" s="1" t="s">
        <v>30</v>
      </c>
      <c r="C17" s="1" t="s">
        <v>31</v>
      </c>
      <c r="D17" s="1" t="s">
        <v>19</v>
      </c>
      <c r="E17" s="5">
        <v>23.04</v>
      </c>
      <c r="F17" s="5">
        <v>23.04</v>
      </c>
      <c r="G17" s="1">
        <v>41.44</v>
      </c>
      <c r="H17" s="1">
        <v>0.24</v>
      </c>
      <c r="I17" s="1">
        <v>55.59</v>
      </c>
      <c r="J17" s="1">
        <v>1.15924</v>
      </c>
      <c r="K17" s="1">
        <v>1.15828</v>
      </c>
      <c r="L17" s="6">
        <v>45972</v>
      </c>
    </row>
    <row r="18" spans="1:12" x14ac:dyDescent="0.3">
      <c r="A18" s="1" t="s">
        <v>16</v>
      </c>
      <c r="B18" s="1" t="s">
        <v>36</v>
      </c>
      <c r="C18" s="1" t="s">
        <v>37</v>
      </c>
      <c r="D18" s="1" t="s">
        <v>29</v>
      </c>
      <c r="E18" s="5">
        <v>86.24</v>
      </c>
      <c r="F18" s="5">
        <v>86.24</v>
      </c>
      <c r="G18" s="1">
        <v>26.18</v>
      </c>
      <c r="H18" s="1">
        <v>0.08</v>
      </c>
      <c r="I18" s="1">
        <v>329.38</v>
      </c>
      <c r="J18" s="1">
        <v>4106.54</v>
      </c>
      <c r="K18" s="1">
        <v>4117.32</v>
      </c>
      <c r="L18" s="6">
        <v>45972</v>
      </c>
    </row>
    <row r="19" spans="1:12" x14ac:dyDescent="0.3">
      <c r="A19" s="1" t="s">
        <v>23</v>
      </c>
      <c r="B19" s="1" t="s">
        <v>34</v>
      </c>
      <c r="C19" s="1" t="s">
        <v>35</v>
      </c>
      <c r="D19" s="1" t="s">
        <v>19</v>
      </c>
      <c r="E19" s="5">
        <v>5.42</v>
      </c>
      <c r="F19" s="5">
        <v>5.42</v>
      </c>
      <c r="G19" s="1">
        <v>10.84</v>
      </c>
      <c r="H19" s="1">
        <v>0.25</v>
      </c>
      <c r="I19" s="1">
        <v>50</v>
      </c>
      <c r="J19" s="1">
        <v>1.4054599999999999</v>
      </c>
      <c r="K19" s="1">
        <v>1.4048499999999999</v>
      </c>
      <c r="L19" s="6">
        <v>45968</v>
      </c>
    </row>
    <row r="20" spans="1:12" x14ac:dyDescent="0.3">
      <c r="A20" s="1" t="s">
        <v>16</v>
      </c>
      <c r="B20" s="1" t="s">
        <v>38</v>
      </c>
      <c r="C20" s="1" t="s">
        <v>39</v>
      </c>
      <c r="D20" s="1" t="s">
        <v>26</v>
      </c>
      <c r="E20" s="5">
        <v>51.2</v>
      </c>
      <c r="F20" s="5">
        <v>51.2</v>
      </c>
      <c r="G20" s="1">
        <v>16.649999999999999</v>
      </c>
      <c r="H20" s="1">
        <v>0.14000000000000001</v>
      </c>
      <c r="I20" s="1">
        <v>307.51</v>
      </c>
      <c r="J20" s="1">
        <v>1094.29</v>
      </c>
      <c r="K20" s="1">
        <v>1098.28</v>
      </c>
      <c r="L20" s="6">
        <v>45967</v>
      </c>
    </row>
    <row r="21" spans="1:12" x14ac:dyDescent="0.3">
      <c r="A21" s="1" t="s">
        <v>23</v>
      </c>
      <c r="B21" s="1" t="s">
        <v>36</v>
      </c>
      <c r="C21" s="1" t="s">
        <v>37</v>
      </c>
      <c r="D21" s="1" t="s">
        <v>29</v>
      </c>
      <c r="E21" s="5">
        <v>124.6</v>
      </c>
      <c r="F21" s="5">
        <v>124.6</v>
      </c>
      <c r="G21" s="1">
        <v>39.25</v>
      </c>
      <c r="H21" s="1">
        <v>0.08</v>
      </c>
      <c r="I21" s="1">
        <v>317.48</v>
      </c>
      <c r="J21" s="1">
        <v>3983.06</v>
      </c>
      <c r="K21" s="1">
        <v>3968.5</v>
      </c>
      <c r="L21" s="6">
        <v>45966</v>
      </c>
    </row>
    <row r="22" spans="1:12" x14ac:dyDescent="0.3">
      <c r="A22" s="1" t="s">
        <v>16</v>
      </c>
      <c r="B22" s="1" t="s">
        <v>40</v>
      </c>
      <c r="C22" s="1" t="s">
        <v>41</v>
      </c>
      <c r="D22" s="1" t="s">
        <v>22</v>
      </c>
      <c r="E22" s="5">
        <v>64.41</v>
      </c>
      <c r="F22" s="5">
        <v>64.41</v>
      </c>
      <c r="G22" s="1">
        <v>65.430000000000007</v>
      </c>
      <c r="H22" s="1">
        <v>2.1</v>
      </c>
      <c r="I22" s="1">
        <v>98.43</v>
      </c>
      <c r="J22" s="1">
        <v>2.3130700000000002</v>
      </c>
      <c r="K22" s="1">
        <v>2.3437399999999999</v>
      </c>
      <c r="L22" s="6">
        <v>45966</v>
      </c>
    </row>
    <row r="23" spans="1:12" x14ac:dyDescent="0.3">
      <c r="A23" s="1" t="s">
        <v>16</v>
      </c>
      <c r="B23" s="1" t="s">
        <v>40</v>
      </c>
      <c r="C23" s="1" t="s">
        <v>41</v>
      </c>
      <c r="D23" s="1" t="s">
        <v>22</v>
      </c>
      <c r="E23" s="5">
        <v>16.690000000000001</v>
      </c>
      <c r="F23" s="5">
        <v>16.690000000000001</v>
      </c>
      <c r="G23" s="1">
        <v>39.03</v>
      </c>
      <c r="H23" s="1">
        <v>0.93</v>
      </c>
      <c r="I23" s="1">
        <v>42.76</v>
      </c>
      <c r="J23" s="1">
        <v>2.2791700000000001</v>
      </c>
      <c r="K23" s="1">
        <v>2.29894</v>
      </c>
      <c r="L23" s="6">
        <v>45966</v>
      </c>
    </row>
    <row r="24" spans="1:12" x14ac:dyDescent="0.3">
      <c r="A24" s="1" t="s">
        <v>16</v>
      </c>
      <c r="B24" s="1" t="s">
        <v>40</v>
      </c>
      <c r="C24" s="1" t="s">
        <v>41</v>
      </c>
      <c r="D24" s="1" t="s">
        <v>22</v>
      </c>
      <c r="E24" s="5">
        <v>8.06</v>
      </c>
      <c r="F24" s="5">
        <v>8.06</v>
      </c>
      <c r="G24" s="1">
        <v>39.83</v>
      </c>
      <c r="H24" s="1">
        <v>0.44</v>
      </c>
      <c r="I24" s="1">
        <v>20.23</v>
      </c>
      <c r="J24" s="1">
        <v>2.2791700000000001</v>
      </c>
      <c r="K24" s="1">
        <v>2.2993399999999999</v>
      </c>
      <c r="L24" s="6">
        <v>45966</v>
      </c>
    </row>
    <row r="25" spans="1:12" x14ac:dyDescent="0.3">
      <c r="A25" s="1" t="s">
        <v>16</v>
      </c>
      <c r="B25" s="1" t="s">
        <v>40</v>
      </c>
      <c r="C25" s="1" t="s">
        <v>41</v>
      </c>
      <c r="D25" s="1" t="s">
        <v>22</v>
      </c>
      <c r="E25" s="5">
        <v>16.13</v>
      </c>
      <c r="F25" s="5">
        <v>16.13</v>
      </c>
      <c r="G25" s="1">
        <v>39.86</v>
      </c>
      <c r="H25" s="1">
        <v>0.88</v>
      </c>
      <c r="I25" s="1">
        <v>40.46</v>
      </c>
      <c r="J25" s="1">
        <v>2.2791700000000001</v>
      </c>
      <c r="K25" s="1">
        <v>2.2993399999999999</v>
      </c>
      <c r="L25" s="6">
        <v>45966</v>
      </c>
    </row>
    <row r="26" spans="1:12" x14ac:dyDescent="0.3">
      <c r="A26" s="1" t="s">
        <v>16</v>
      </c>
      <c r="B26" s="1" t="s">
        <v>36</v>
      </c>
      <c r="C26" s="1" t="s">
        <v>37</v>
      </c>
      <c r="D26" s="1" t="s">
        <v>29</v>
      </c>
      <c r="E26" s="5">
        <v>56.7</v>
      </c>
      <c r="F26" s="5">
        <v>56.7</v>
      </c>
      <c r="G26" s="1">
        <v>15.86</v>
      </c>
      <c r="H26" s="1">
        <v>0.09</v>
      </c>
      <c r="I26" s="1">
        <v>357.46</v>
      </c>
      <c r="J26" s="1">
        <v>3965.5</v>
      </c>
      <c r="K26" s="1">
        <v>3971.8</v>
      </c>
      <c r="L26" s="6">
        <v>45965</v>
      </c>
    </row>
    <row r="27" spans="1:12" x14ac:dyDescent="0.3">
      <c r="A27" s="1" t="s">
        <v>16</v>
      </c>
      <c r="B27" s="1" t="s">
        <v>36</v>
      </c>
      <c r="C27" s="1" t="s">
        <v>37</v>
      </c>
      <c r="D27" s="1" t="s">
        <v>29</v>
      </c>
      <c r="E27" s="5">
        <v>38.4</v>
      </c>
      <c r="F27" s="5">
        <v>38.4</v>
      </c>
      <c r="G27" s="1">
        <v>12</v>
      </c>
      <c r="H27" s="1">
        <v>0.08</v>
      </c>
      <c r="I27" s="1">
        <v>319.91000000000003</v>
      </c>
      <c r="J27" s="1">
        <v>3994.17</v>
      </c>
      <c r="K27" s="1">
        <v>3998.97</v>
      </c>
      <c r="L27" s="6">
        <v>45964</v>
      </c>
    </row>
    <row r="28" spans="1:12" x14ac:dyDescent="0.3">
      <c r="A28" s="1" t="s">
        <v>16</v>
      </c>
      <c r="B28" s="1" t="s">
        <v>20</v>
      </c>
      <c r="C28" s="1" t="s">
        <v>21</v>
      </c>
      <c r="D28" s="1" t="s">
        <v>22</v>
      </c>
      <c r="E28" s="5">
        <v>14.81</v>
      </c>
      <c r="F28" s="5">
        <v>14.81</v>
      </c>
      <c r="G28" s="1">
        <v>56.06</v>
      </c>
      <c r="H28" s="1">
        <v>0.34</v>
      </c>
      <c r="I28" s="1">
        <v>26.42</v>
      </c>
      <c r="J28" s="1">
        <v>3841.74</v>
      </c>
      <c r="K28" s="1">
        <v>3885.3</v>
      </c>
      <c r="L28" s="6">
        <v>45962</v>
      </c>
    </row>
    <row r="29" spans="1:12" x14ac:dyDescent="0.3">
      <c r="A29" s="1" t="s">
        <v>16</v>
      </c>
      <c r="B29" s="1" t="s">
        <v>20</v>
      </c>
      <c r="C29" s="1" t="s">
        <v>21</v>
      </c>
      <c r="D29" s="1" t="s">
        <v>22</v>
      </c>
      <c r="E29" s="5">
        <v>19.170000000000002</v>
      </c>
      <c r="F29" s="5">
        <v>19.170000000000002</v>
      </c>
      <c r="G29" s="1">
        <v>56.07</v>
      </c>
      <c r="H29" s="1">
        <v>0.44</v>
      </c>
      <c r="I29" s="1">
        <v>34.19</v>
      </c>
      <c r="J29" s="1">
        <v>3841.74</v>
      </c>
      <c r="K29" s="1">
        <v>3885.3</v>
      </c>
      <c r="L29" s="6">
        <v>45962</v>
      </c>
    </row>
    <row r="30" spans="1:12" x14ac:dyDescent="0.3">
      <c r="A30" s="1" t="s">
        <v>16</v>
      </c>
      <c r="B30" s="1" t="s">
        <v>20</v>
      </c>
      <c r="C30" s="1" t="s">
        <v>21</v>
      </c>
      <c r="D30" s="1" t="s">
        <v>22</v>
      </c>
      <c r="E30" s="5">
        <v>42.69</v>
      </c>
      <c r="F30" s="5">
        <v>42.69</v>
      </c>
      <c r="G30" s="1">
        <v>56.06</v>
      </c>
      <c r="H30" s="1">
        <v>0.98</v>
      </c>
      <c r="I30" s="1">
        <v>76.150000000000006</v>
      </c>
      <c r="J30" s="1">
        <v>3841.74</v>
      </c>
      <c r="K30" s="1">
        <v>3885.3</v>
      </c>
      <c r="L30" s="6">
        <v>45962</v>
      </c>
    </row>
    <row r="31" spans="1:12" x14ac:dyDescent="0.3">
      <c r="A31" s="1" t="s">
        <v>16</v>
      </c>
      <c r="B31" s="1" t="s">
        <v>20</v>
      </c>
      <c r="C31" s="1" t="s">
        <v>21</v>
      </c>
      <c r="D31" s="1" t="s">
        <v>22</v>
      </c>
      <c r="E31" s="5">
        <v>21.58</v>
      </c>
      <c r="F31" s="5">
        <v>21.58</v>
      </c>
      <c r="G31" s="1">
        <v>56.67</v>
      </c>
      <c r="H31" s="1">
        <v>0.49</v>
      </c>
      <c r="I31" s="1">
        <v>38.08</v>
      </c>
      <c r="J31" s="1">
        <v>3841.74</v>
      </c>
      <c r="K31" s="1">
        <v>3885.78</v>
      </c>
      <c r="L31" s="6">
        <v>45962</v>
      </c>
    </row>
    <row r="32" spans="1:12" x14ac:dyDescent="0.3">
      <c r="A32" s="1" t="s">
        <v>16</v>
      </c>
      <c r="B32" s="1" t="s">
        <v>17</v>
      </c>
      <c r="C32" s="1" t="s">
        <v>18</v>
      </c>
      <c r="D32" s="1" t="s">
        <v>19</v>
      </c>
      <c r="E32" s="5">
        <v>14.06</v>
      </c>
      <c r="F32" s="5">
        <v>14.06</v>
      </c>
      <c r="G32" s="1">
        <v>28.11</v>
      </c>
      <c r="H32" s="1">
        <v>0.19</v>
      </c>
      <c r="I32" s="1">
        <v>50.01</v>
      </c>
      <c r="J32" s="1">
        <v>1.31541</v>
      </c>
      <c r="K32" s="1">
        <v>1.3161499999999999</v>
      </c>
      <c r="L32" s="6">
        <v>45960</v>
      </c>
    </row>
    <row r="33" spans="1:12" x14ac:dyDescent="0.3">
      <c r="A33" s="1" t="s">
        <v>16</v>
      </c>
      <c r="B33" s="1" t="s">
        <v>30</v>
      </c>
      <c r="C33" s="1" t="s">
        <v>31</v>
      </c>
      <c r="D33" s="1" t="s">
        <v>19</v>
      </c>
      <c r="E33" s="5">
        <v>13.86</v>
      </c>
      <c r="F33" s="5">
        <v>13.86</v>
      </c>
      <c r="G33" s="1">
        <v>28.51</v>
      </c>
      <c r="H33" s="1">
        <v>0.21</v>
      </c>
      <c r="I33" s="1">
        <v>48.61</v>
      </c>
      <c r="J33" s="1">
        <v>1.15686</v>
      </c>
      <c r="K33" s="1">
        <v>1.1575200000000001</v>
      </c>
      <c r="L33" s="6">
        <v>45960</v>
      </c>
    </row>
    <row r="34" spans="1:12" x14ac:dyDescent="0.3">
      <c r="A34" s="1" t="s">
        <v>23</v>
      </c>
      <c r="B34" s="1" t="s">
        <v>36</v>
      </c>
      <c r="C34" s="1" t="s">
        <v>37</v>
      </c>
      <c r="D34" s="1" t="s">
        <v>29</v>
      </c>
      <c r="E34" s="5">
        <v>32.28</v>
      </c>
      <c r="F34" s="5">
        <v>32.28</v>
      </c>
      <c r="G34" s="1">
        <v>13.34</v>
      </c>
      <c r="H34" s="1">
        <v>0.06</v>
      </c>
      <c r="I34" s="1">
        <v>241.93</v>
      </c>
      <c r="J34" s="1">
        <v>4037.59</v>
      </c>
      <c r="K34" s="1">
        <v>4032.21</v>
      </c>
      <c r="L34" s="6">
        <v>45960</v>
      </c>
    </row>
    <row r="35" spans="1:12" x14ac:dyDescent="0.3">
      <c r="A35" s="1" t="s">
        <v>16</v>
      </c>
      <c r="B35" s="1" t="s">
        <v>27</v>
      </c>
      <c r="C35" s="1" t="s">
        <v>28</v>
      </c>
      <c r="D35" s="1" t="s">
        <v>29</v>
      </c>
      <c r="E35" s="5">
        <v>26.97</v>
      </c>
      <c r="F35" s="5">
        <v>26.97</v>
      </c>
      <c r="G35" s="1">
        <v>14.77</v>
      </c>
      <c r="H35" s="1">
        <v>0.06</v>
      </c>
      <c r="I35" s="1">
        <v>182.58</v>
      </c>
      <c r="J35" s="1">
        <v>60.427999999999997</v>
      </c>
      <c r="K35" s="1">
        <v>60.860999999999997</v>
      </c>
      <c r="L35" s="10">
        <v>45959</v>
      </c>
    </row>
    <row r="36" spans="1:12" x14ac:dyDescent="0.3">
      <c r="A36" s="1" t="s">
        <v>16</v>
      </c>
      <c r="B36" s="1" t="s">
        <v>36</v>
      </c>
      <c r="C36" s="1" t="s">
        <v>37</v>
      </c>
      <c r="D36" s="1" t="s">
        <v>29</v>
      </c>
      <c r="E36" s="5">
        <v>78.03</v>
      </c>
      <c r="F36" s="5">
        <v>78.03</v>
      </c>
      <c r="G36" s="1">
        <v>21.87</v>
      </c>
      <c r="H36" s="1">
        <v>0.09</v>
      </c>
      <c r="I36" s="1">
        <v>356.86</v>
      </c>
      <c r="J36" s="1">
        <v>3956.53</v>
      </c>
      <c r="K36" s="1">
        <v>3965.2</v>
      </c>
      <c r="L36" s="6">
        <v>45958</v>
      </c>
    </row>
    <row r="37" spans="1:12" x14ac:dyDescent="0.3">
      <c r="A37" s="1" t="s">
        <v>23</v>
      </c>
      <c r="B37" s="1" t="s">
        <v>36</v>
      </c>
      <c r="C37" s="1" t="s">
        <v>37</v>
      </c>
      <c r="D37" s="1" t="s">
        <v>29</v>
      </c>
      <c r="E37" s="5">
        <v>69.930000000000007</v>
      </c>
      <c r="F37" s="5">
        <v>69.930000000000007</v>
      </c>
      <c r="G37" s="1">
        <v>24.93</v>
      </c>
      <c r="H37" s="1">
        <v>7.0000000000000007E-2</v>
      </c>
      <c r="I37" s="1">
        <v>280.55</v>
      </c>
      <c r="J37" s="1">
        <v>4017.85</v>
      </c>
      <c r="K37" s="1">
        <v>4007.86</v>
      </c>
      <c r="L37" s="6">
        <v>45957</v>
      </c>
    </row>
    <row r="38" spans="1:12" x14ac:dyDescent="0.3">
      <c r="A38" s="1" t="s">
        <v>23</v>
      </c>
      <c r="B38" s="1" t="s">
        <v>32</v>
      </c>
      <c r="C38" s="1" t="s">
        <v>33</v>
      </c>
      <c r="D38" s="1" t="s">
        <v>19</v>
      </c>
      <c r="E38" s="5">
        <v>7.17</v>
      </c>
      <c r="F38" s="5">
        <v>7.17</v>
      </c>
      <c r="G38" s="1">
        <v>17.920000000000002</v>
      </c>
      <c r="H38" s="1">
        <v>0.2</v>
      </c>
      <c r="I38" s="1">
        <v>40</v>
      </c>
      <c r="J38" s="1">
        <v>152.78</v>
      </c>
      <c r="K38" s="1">
        <v>152.703</v>
      </c>
      <c r="L38" s="6">
        <v>45956</v>
      </c>
    </row>
    <row r="39" spans="1:12" x14ac:dyDescent="0.3">
      <c r="A39" s="1" t="s">
        <v>23</v>
      </c>
      <c r="B39" s="1" t="s">
        <v>36</v>
      </c>
      <c r="C39" s="1" t="s">
        <v>37</v>
      </c>
      <c r="D39" s="1" t="s">
        <v>29</v>
      </c>
      <c r="E39" s="5">
        <v>58.32</v>
      </c>
      <c r="F39" s="5">
        <v>58.32</v>
      </c>
      <c r="G39" s="1">
        <v>23.67</v>
      </c>
      <c r="H39" s="1">
        <v>0.06</v>
      </c>
      <c r="I39" s="1">
        <v>246.35</v>
      </c>
      <c r="J39" s="1">
        <v>4115.57</v>
      </c>
      <c r="K39" s="1">
        <v>4105.8500000000004</v>
      </c>
      <c r="L39" s="6">
        <v>45954</v>
      </c>
    </row>
    <row r="40" spans="1:12" x14ac:dyDescent="0.3">
      <c r="A40" s="1" t="s">
        <v>16</v>
      </c>
      <c r="B40" s="1" t="s">
        <v>42</v>
      </c>
      <c r="C40" s="1" t="s">
        <v>43</v>
      </c>
      <c r="D40" s="1" t="s">
        <v>26</v>
      </c>
      <c r="E40" s="5">
        <v>93.04</v>
      </c>
      <c r="F40" s="5">
        <v>93.04</v>
      </c>
      <c r="G40" s="1">
        <v>65.319999999999993</v>
      </c>
      <c r="H40" s="1">
        <v>0.16</v>
      </c>
      <c r="I40" s="1">
        <v>142.43</v>
      </c>
      <c r="J40" s="1">
        <v>439.17</v>
      </c>
      <c r="K40" s="1">
        <v>445.12</v>
      </c>
      <c r="L40" s="6">
        <v>45953</v>
      </c>
    </row>
    <row r="41" spans="1:12" x14ac:dyDescent="0.3">
      <c r="A41" s="1" t="s">
        <v>16</v>
      </c>
      <c r="B41" s="1" t="s">
        <v>36</v>
      </c>
      <c r="C41" s="1" t="s">
        <v>37</v>
      </c>
      <c r="D41" s="1" t="s">
        <v>29</v>
      </c>
      <c r="E41" s="5">
        <v>44.17</v>
      </c>
      <c r="F41" s="5">
        <v>44.17</v>
      </c>
      <c r="G41" s="1">
        <v>10.75</v>
      </c>
      <c r="H41" s="1">
        <v>0.1</v>
      </c>
      <c r="I41" s="1">
        <v>411.06</v>
      </c>
      <c r="J41" s="1">
        <v>4104.0600000000004</v>
      </c>
      <c r="K41" s="1">
        <v>4110.67</v>
      </c>
      <c r="L41" s="6">
        <v>45952</v>
      </c>
    </row>
    <row r="42" spans="1:12" x14ac:dyDescent="0.3">
      <c r="A42" s="1" t="s">
        <v>23</v>
      </c>
      <c r="B42" s="1" t="s">
        <v>17</v>
      </c>
      <c r="C42" s="1" t="s">
        <v>18</v>
      </c>
      <c r="D42" s="1" t="s">
        <v>19</v>
      </c>
      <c r="E42" s="5">
        <v>5.65</v>
      </c>
      <c r="F42" s="5">
        <v>5.65</v>
      </c>
      <c r="G42" s="1">
        <v>21.22</v>
      </c>
      <c r="H42" s="1">
        <v>0.1</v>
      </c>
      <c r="I42" s="1">
        <v>26.62</v>
      </c>
      <c r="J42" s="1">
        <v>1.3320399999999999</v>
      </c>
      <c r="K42" s="1">
        <v>1.33141</v>
      </c>
      <c r="L42" s="6">
        <v>45952</v>
      </c>
    </row>
    <row r="43" spans="1:12" x14ac:dyDescent="0.3">
      <c r="A43" s="1" t="s">
        <v>23</v>
      </c>
      <c r="B43" s="1" t="s">
        <v>30</v>
      </c>
      <c r="C43" s="1" t="s">
        <v>31</v>
      </c>
      <c r="D43" s="1" t="s">
        <v>19</v>
      </c>
      <c r="E43" s="5">
        <v>10.26</v>
      </c>
      <c r="F43" s="5">
        <v>10.26</v>
      </c>
      <c r="G43" s="1">
        <v>23.28</v>
      </c>
      <c r="H43" s="1">
        <v>0.19</v>
      </c>
      <c r="I43" s="1">
        <v>44.08</v>
      </c>
      <c r="J43" s="1">
        <v>1.16056</v>
      </c>
      <c r="K43" s="1">
        <v>1.1600200000000001</v>
      </c>
      <c r="L43" s="6">
        <v>45952</v>
      </c>
    </row>
    <row r="44" spans="1:12" x14ac:dyDescent="0.3">
      <c r="A44" s="1" t="s">
        <v>16</v>
      </c>
      <c r="B44" s="1" t="s">
        <v>36</v>
      </c>
      <c r="C44" s="1" t="s">
        <v>37</v>
      </c>
      <c r="D44" s="1" t="s">
        <v>29</v>
      </c>
      <c r="E44" s="5">
        <v>103.52</v>
      </c>
      <c r="F44" s="5">
        <v>103.52</v>
      </c>
      <c r="G44" s="1">
        <v>31.57</v>
      </c>
      <c r="H44" s="1">
        <v>0.08</v>
      </c>
      <c r="I44" s="1">
        <v>327.95</v>
      </c>
      <c r="J44" s="1">
        <v>4086.53</v>
      </c>
      <c r="K44" s="1">
        <v>4099.47</v>
      </c>
      <c r="L44" s="6">
        <v>45951</v>
      </c>
    </row>
    <row r="45" spans="1:12" x14ac:dyDescent="0.3">
      <c r="A45" s="1" t="s">
        <v>16</v>
      </c>
      <c r="B45" s="1" t="s">
        <v>32</v>
      </c>
      <c r="C45" s="1" t="s">
        <v>33</v>
      </c>
      <c r="D45" s="1" t="s">
        <v>19</v>
      </c>
      <c r="E45" s="5">
        <v>12.25</v>
      </c>
      <c r="F45" s="5">
        <v>12.25</v>
      </c>
      <c r="G45" s="1">
        <v>43.75</v>
      </c>
      <c r="H45" s="1">
        <v>0.14000000000000001</v>
      </c>
      <c r="I45" s="1">
        <v>28</v>
      </c>
      <c r="J45" s="1">
        <v>151.804</v>
      </c>
      <c r="K45" s="1">
        <v>151.86699999999999</v>
      </c>
      <c r="L45" s="6">
        <v>45951</v>
      </c>
    </row>
    <row r="46" spans="1:12" x14ac:dyDescent="0.3">
      <c r="A46" s="1" t="s">
        <v>16</v>
      </c>
      <c r="B46" s="1" t="s">
        <v>44</v>
      </c>
      <c r="C46" s="1" t="s">
        <v>45</v>
      </c>
      <c r="D46" s="1" t="s">
        <v>19</v>
      </c>
      <c r="E46" s="5">
        <v>9.77</v>
      </c>
      <c r="F46" s="5">
        <v>9.77</v>
      </c>
      <c r="G46" s="1">
        <v>27.14</v>
      </c>
      <c r="H46" s="1">
        <v>0.18</v>
      </c>
      <c r="I46" s="1">
        <v>35.99</v>
      </c>
      <c r="J46" s="1">
        <v>0.79190000000000005</v>
      </c>
      <c r="K46" s="1">
        <v>0.79232999999999998</v>
      </c>
      <c r="L46" s="6">
        <v>45950</v>
      </c>
    </row>
    <row r="47" spans="1:12" x14ac:dyDescent="0.3">
      <c r="A47" s="1" t="s">
        <v>16</v>
      </c>
      <c r="B47" s="1" t="s">
        <v>36</v>
      </c>
      <c r="C47" s="1" t="s">
        <v>37</v>
      </c>
      <c r="D47" s="1" t="s">
        <v>29</v>
      </c>
      <c r="E47" s="5">
        <v>45.92</v>
      </c>
      <c r="F47" s="5">
        <v>45.92</v>
      </c>
      <c r="G47" s="1">
        <v>15.02</v>
      </c>
      <c r="H47" s="1">
        <v>7.0000000000000007E-2</v>
      </c>
      <c r="I47" s="1">
        <v>305.8</v>
      </c>
      <c r="J47" s="1">
        <v>4362.07</v>
      </c>
      <c r="K47" s="1">
        <v>4368.63</v>
      </c>
      <c r="L47" s="6">
        <v>45950</v>
      </c>
    </row>
    <row r="48" spans="1:12" x14ac:dyDescent="0.3">
      <c r="A48" s="1" t="s">
        <v>16</v>
      </c>
      <c r="B48" s="1" t="s">
        <v>36</v>
      </c>
      <c r="C48" s="1" t="s">
        <v>37</v>
      </c>
      <c r="D48" s="1" t="s">
        <v>29</v>
      </c>
      <c r="E48" s="5">
        <v>53.12</v>
      </c>
      <c r="F48" s="5">
        <v>53.12</v>
      </c>
      <c r="G48" s="1">
        <v>15.71</v>
      </c>
      <c r="H48" s="1">
        <v>0.08</v>
      </c>
      <c r="I48" s="1">
        <v>338.1</v>
      </c>
      <c r="J48" s="1">
        <v>4219.6499999999996</v>
      </c>
      <c r="K48" s="1">
        <v>4226.29</v>
      </c>
      <c r="L48" s="6">
        <v>45947</v>
      </c>
    </row>
    <row r="49" spans="1:12" x14ac:dyDescent="0.3">
      <c r="A49" s="1" t="s">
        <v>23</v>
      </c>
      <c r="B49" s="1" t="s">
        <v>30</v>
      </c>
      <c r="C49" s="1" t="s">
        <v>31</v>
      </c>
      <c r="D49" s="1" t="s">
        <v>19</v>
      </c>
      <c r="E49" s="5">
        <v>15.36</v>
      </c>
      <c r="F49" s="5">
        <v>15.36</v>
      </c>
      <c r="G49" s="1">
        <v>41.07</v>
      </c>
      <c r="H49" s="1">
        <v>0.16</v>
      </c>
      <c r="I49" s="1">
        <v>37.39</v>
      </c>
      <c r="J49" s="1">
        <v>1.1695599999999999</v>
      </c>
      <c r="K49" s="1">
        <v>1.1686000000000001</v>
      </c>
      <c r="L49" s="6">
        <v>45947</v>
      </c>
    </row>
    <row r="50" spans="1:12" x14ac:dyDescent="0.3">
      <c r="A50" s="1" t="s">
        <v>16</v>
      </c>
      <c r="B50" s="1" t="s">
        <v>36</v>
      </c>
      <c r="C50" s="1" t="s">
        <v>37</v>
      </c>
      <c r="D50" s="1" t="s">
        <v>29</v>
      </c>
      <c r="E50" s="5">
        <v>67.680000000000007</v>
      </c>
      <c r="F50" s="5">
        <v>67.680000000000007</v>
      </c>
      <c r="G50" s="1">
        <v>25.82</v>
      </c>
      <c r="H50" s="1">
        <v>0.06</v>
      </c>
      <c r="I50" s="1">
        <v>262.14</v>
      </c>
      <c r="J50" s="1">
        <v>4357.7299999999996</v>
      </c>
      <c r="K50" s="1">
        <v>4369.01</v>
      </c>
      <c r="L50" s="6">
        <v>45946</v>
      </c>
    </row>
    <row r="51" spans="1:12" x14ac:dyDescent="0.3">
      <c r="A51" s="1" t="s">
        <v>23</v>
      </c>
      <c r="B51" s="1" t="s">
        <v>46</v>
      </c>
      <c r="C51" s="1" t="s">
        <v>47</v>
      </c>
      <c r="D51" s="1" t="s">
        <v>26</v>
      </c>
      <c r="E51" s="5">
        <v>65.12</v>
      </c>
      <c r="F51" s="5">
        <v>65.12</v>
      </c>
      <c r="G51" s="1">
        <v>52.47</v>
      </c>
      <c r="H51" s="1">
        <v>1.2</v>
      </c>
      <c r="I51" s="1">
        <v>124.1</v>
      </c>
      <c r="J51" s="1">
        <v>52.25</v>
      </c>
      <c r="K51" s="1">
        <v>51.71</v>
      </c>
      <c r="L51" s="6">
        <v>45946</v>
      </c>
    </row>
    <row r="52" spans="1:12" x14ac:dyDescent="0.3">
      <c r="A52" s="1" t="s">
        <v>16</v>
      </c>
      <c r="B52" s="1" t="s">
        <v>36</v>
      </c>
      <c r="C52" s="1" t="s">
        <v>37</v>
      </c>
      <c r="D52" s="1" t="s">
        <v>29</v>
      </c>
      <c r="E52" s="5">
        <v>44.1</v>
      </c>
      <c r="F52" s="5">
        <v>44.1</v>
      </c>
      <c r="G52" s="1">
        <v>17.48</v>
      </c>
      <c r="H52" s="1">
        <v>0.06</v>
      </c>
      <c r="I52" s="1">
        <v>252.33</v>
      </c>
      <c r="J52" s="1">
        <v>4198.2</v>
      </c>
      <c r="K52" s="1">
        <v>4205.55</v>
      </c>
      <c r="L52" s="6">
        <v>45945</v>
      </c>
    </row>
    <row r="53" spans="1:12" x14ac:dyDescent="0.3">
      <c r="A53" s="1" t="s">
        <v>16</v>
      </c>
      <c r="B53" s="1" t="s">
        <v>36</v>
      </c>
      <c r="C53" s="1" t="s">
        <v>37</v>
      </c>
      <c r="D53" s="1" t="s">
        <v>29</v>
      </c>
      <c r="E53" s="5">
        <v>49.5</v>
      </c>
      <c r="F53" s="5">
        <v>49.5</v>
      </c>
      <c r="G53" s="1">
        <v>19.809999999999999</v>
      </c>
      <c r="H53" s="1">
        <v>0.06</v>
      </c>
      <c r="I53" s="1">
        <v>249.92</v>
      </c>
      <c r="J53" s="1">
        <v>4157.1499999999996</v>
      </c>
      <c r="K53" s="1">
        <v>4165.3999999999996</v>
      </c>
      <c r="L53" s="6">
        <v>45944</v>
      </c>
    </row>
  </sheetData>
  <conditionalFormatting sqref="E2:F34">
    <cfRule type="colorScale" priority="1">
      <colorScale>
        <cfvo type="min"/>
        <cfvo type="max"/>
        <color rgb="FFFCFCFF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31"/>
  <sheetViews>
    <sheetView tabSelected="1" topLeftCell="A9" zoomScale="60" zoomScaleNormal="85" workbookViewId="0">
      <selection activeCell="Z42" sqref="Z42"/>
    </sheetView>
  </sheetViews>
  <sheetFormatPr defaultRowHeight="14.4" x14ac:dyDescent="0.3"/>
  <cols>
    <col min="1" max="1" width="18.21875" bestFit="1" customWidth="1"/>
    <col min="2" max="2" width="32.88671875" bestFit="1" customWidth="1"/>
    <col min="3" max="3" width="31.77734375" bestFit="1" customWidth="1"/>
    <col min="4" max="4" width="19.109375" bestFit="1" customWidth="1"/>
  </cols>
  <sheetData>
    <row r="3" spans="1:3" x14ac:dyDescent="0.3">
      <c r="B3" s="7" t="s">
        <v>12</v>
      </c>
    </row>
    <row r="4" spans="1:3" x14ac:dyDescent="0.3">
      <c r="A4" s="7" t="s">
        <v>13</v>
      </c>
      <c r="B4" t="s">
        <v>48</v>
      </c>
      <c r="C4" t="s">
        <v>14</v>
      </c>
    </row>
    <row r="5" spans="1:3" x14ac:dyDescent="0.3">
      <c r="A5" s="9">
        <v>45944</v>
      </c>
      <c r="B5" s="8">
        <v>49.5</v>
      </c>
      <c r="C5" s="11">
        <v>49.5</v>
      </c>
    </row>
    <row r="6" spans="1:3" x14ac:dyDescent="0.3">
      <c r="A6" s="9">
        <v>45945</v>
      </c>
      <c r="B6" s="8">
        <v>44.1</v>
      </c>
      <c r="C6" s="11">
        <v>93.6</v>
      </c>
    </row>
    <row r="7" spans="1:3" x14ac:dyDescent="0.3">
      <c r="A7" s="9">
        <v>45946</v>
      </c>
      <c r="B7" s="8">
        <v>132.80000000000001</v>
      </c>
      <c r="C7" s="11">
        <v>226.4</v>
      </c>
    </row>
    <row r="8" spans="1:3" x14ac:dyDescent="0.3">
      <c r="A8" s="9">
        <v>45947</v>
      </c>
      <c r="B8" s="8">
        <v>68.47999999999999</v>
      </c>
      <c r="C8" s="11">
        <v>294.88</v>
      </c>
    </row>
    <row r="9" spans="1:3" x14ac:dyDescent="0.3">
      <c r="A9" s="9">
        <v>45950</v>
      </c>
      <c r="B9" s="8">
        <v>55.69</v>
      </c>
      <c r="C9" s="11">
        <v>350.57</v>
      </c>
    </row>
    <row r="10" spans="1:3" x14ac:dyDescent="0.3">
      <c r="A10" s="9">
        <v>45951</v>
      </c>
      <c r="B10" s="8">
        <v>115.77</v>
      </c>
      <c r="C10" s="11">
        <v>466.34</v>
      </c>
    </row>
    <row r="11" spans="1:3" x14ac:dyDescent="0.3">
      <c r="A11" s="9">
        <v>45952</v>
      </c>
      <c r="B11" s="8">
        <v>60.08</v>
      </c>
      <c r="C11" s="11">
        <v>526.41999999999996</v>
      </c>
    </row>
    <row r="12" spans="1:3" x14ac:dyDescent="0.3">
      <c r="A12" s="9">
        <v>45953</v>
      </c>
      <c r="B12" s="8">
        <v>93.04</v>
      </c>
      <c r="C12" s="11">
        <v>619.45999999999992</v>
      </c>
    </row>
    <row r="13" spans="1:3" x14ac:dyDescent="0.3">
      <c r="A13" s="9">
        <v>45954</v>
      </c>
      <c r="B13" s="8">
        <v>58.32</v>
      </c>
      <c r="C13" s="11">
        <v>677.78</v>
      </c>
    </row>
    <row r="14" spans="1:3" x14ac:dyDescent="0.3">
      <c r="A14" s="9">
        <v>45956</v>
      </c>
      <c r="B14" s="8">
        <v>7.17</v>
      </c>
      <c r="C14" s="11">
        <v>684.94999999999993</v>
      </c>
    </row>
    <row r="15" spans="1:3" x14ac:dyDescent="0.3">
      <c r="A15" s="9">
        <v>45957</v>
      </c>
      <c r="B15" s="8">
        <v>69.930000000000007</v>
      </c>
      <c r="C15" s="11">
        <v>754.87999999999988</v>
      </c>
    </row>
    <row r="16" spans="1:3" x14ac:dyDescent="0.3">
      <c r="A16" s="9">
        <v>45958</v>
      </c>
      <c r="B16" s="8">
        <v>78.03</v>
      </c>
      <c r="C16" s="11">
        <v>832.90999999999985</v>
      </c>
    </row>
    <row r="17" spans="1:3" x14ac:dyDescent="0.3">
      <c r="A17" s="9">
        <v>45959</v>
      </c>
      <c r="B17" s="8">
        <v>26.97</v>
      </c>
      <c r="C17" s="11">
        <v>859.87999999999988</v>
      </c>
    </row>
    <row r="18" spans="1:3" x14ac:dyDescent="0.3">
      <c r="A18" s="9">
        <v>45960</v>
      </c>
      <c r="B18" s="8">
        <v>60.2</v>
      </c>
      <c r="C18" s="11">
        <v>920.07999999999993</v>
      </c>
    </row>
    <row r="19" spans="1:3" x14ac:dyDescent="0.3">
      <c r="A19" s="9">
        <v>45962</v>
      </c>
      <c r="B19" s="8">
        <v>98.25</v>
      </c>
      <c r="C19" s="11">
        <v>1018.3299999999999</v>
      </c>
    </row>
    <row r="20" spans="1:3" x14ac:dyDescent="0.3">
      <c r="A20" s="9">
        <v>45964</v>
      </c>
      <c r="B20" s="8">
        <v>38.4</v>
      </c>
      <c r="C20" s="11">
        <v>1056.73</v>
      </c>
    </row>
    <row r="21" spans="1:3" x14ac:dyDescent="0.3">
      <c r="A21" s="9">
        <v>45965</v>
      </c>
      <c r="B21" s="8">
        <v>56.7</v>
      </c>
      <c r="C21" s="11">
        <v>1113.43</v>
      </c>
    </row>
    <row r="22" spans="1:3" x14ac:dyDescent="0.3">
      <c r="A22" s="9">
        <v>45966</v>
      </c>
      <c r="B22" s="8">
        <v>229.89</v>
      </c>
      <c r="C22" s="11">
        <v>1343.3200000000002</v>
      </c>
    </row>
    <row r="23" spans="1:3" x14ac:dyDescent="0.3">
      <c r="A23" s="9">
        <v>45967</v>
      </c>
      <c r="B23" s="8">
        <v>51.2</v>
      </c>
      <c r="C23" s="11">
        <v>1394.5200000000002</v>
      </c>
    </row>
    <row r="24" spans="1:3" x14ac:dyDescent="0.3">
      <c r="A24" s="9">
        <v>45968</v>
      </c>
      <c r="B24" s="8">
        <v>5.42</v>
      </c>
      <c r="C24" s="11">
        <v>1399.9400000000003</v>
      </c>
    </row>
    <row r="25" spans="1:3" x14ac:dyDescent="0.3">
      <c r="A25" s="9">
        <v>45972</v>
      </c>
      <c r="B25" s="8">
        <v>116.94999999999999</v>
      </c>
      <c r="C25" s="11">
        <v>1516.8900000000003</v>
      </c>
    </row>
    <row r="26" spans="1:3" x14ac:dyDescent="0.3">
      <c r="A26" s="9">
        <v>45973</v>
      </c>
      <c r="B26" s="8">
        <v>209.41</v>
      </c>
      <c r="C26" s="11">
        <v>1726.3000000000004</v>
      </c>
    </row>
    <row r="27" spans="1:3" x14ac:dyDescent="0.3">
      <c r="A27" s="9">
        <v>45974</v>
      </c>
      <c r="B27" s="8">
        <v>193.47</v>
      </c>
      <c r="C27" s="11">
        <v>1919.7700000000004</v>
      </c>
    </row>
    <row r="28" spans="1:3" x14ac:dyDescent="0.3">
      <c r="A28" s="9">
        <v>45976</v>
      </c>
      <c r="B28" s="8">
        <v>177.95</v>
      </c>
      <c r="C28" s="11">
        <v>2097.7200000000003</v>
      </c>
    </row>
    <row r="29" spans="1:3" x14ac:dyDescent="0.3">
      <c r="A29" s="9">
        <v>45978</v>
      </c>
      <c r="B29" s="8">
        <v>104.73</v>
      </c>
      <c r="C29" s="11">
        <v>2202.4500000000003</v>
      </c>
    </row>
    <row r="30" spans="1:3" x14ac:dyDescent="0.3">
      <c r="A30" s="9">
        <v>45979</v>
      </c>
      <c r="B30" s="8">
        <v>255.97</v>
      </c>
      <c r="C30" s="11">
        <v>2458.42</v>
      </c>
    </row>
    <row r="31" spans="1:3" x14ac:dyDescent="0.3">
      <c r="A31" s="9" t="s">
        <v>15</v>
      </c>
      <c r="B31" s="8">
        <v>2458.42</v>
      </c>
      <c r="C31" s="11"/>
    </row>
  </sheetData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 Data</vt:lpstr>
      <vt:lpstr>Gráficos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Allan Boury</cp:lastModifiedBy>
  <dcterms:created xsi:type="dcterms:W3CDTF">2025-10-24T19:05:28Z</dcterms:created>
  <dcterms:modified xsi:type="dcterms:W3CDTF">2025-11-18T12:06:04Z</dcterms:modified>
</cp:coreProperties>
</file>